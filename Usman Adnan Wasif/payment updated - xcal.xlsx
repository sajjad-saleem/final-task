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0755" windowHeight="11115" tabRatio="597" firstSheet="2" activeTab="4"/>
  </bookViews>
  <sheets>
    <sheet name="XCAL Clients Feeded" sheetId="1" r:id="rId1"/>
    <sheet name="XCAL Packages" sheetId="33" r:id="rId2"/>
    <sheet name="Misc Revenue" sheetId="23" r:id="rId3"/>
    <sheet name="Total Sales" sheetId="3" r:id="rId4"/>
    <sheet name="Expenses" sheetId="19" r:id="rId5"/>
    <sheet name="Expense Breakup" sheetId="20" r:id="rId6"/>
    <sheet name="Distribution" sheetId="22" r:id="rId7"/>
    <sheet name="Cash Flow" sheetId="21" r:id="rId8"/>
    <sheet name="XCAL Account" sheetId="24" r:id="rId9"/>
    <sheet name="Paid up Capital" sheetId="32" r:id="rId10"/>
  </sheets>
  <definedNames>
    <definedName name="_xlnm._FilterDatabase" localSheetId="0" hidden="1">'XCAL Clients Feeded'!$A$3:$K$10</definedName>
  </definedNames>
  <calcPr calcId="145621"/>
</workbook>
</file>

<file path=xl/calcChain.xml><?xml version="1.0" encoding="utf-8"?>
<calcChain xmlns="http://schemas.openxmlformats.org/spreadsheetml/2006/main">
  <c r="F135" i="19" l="1"/>
  <c r="O23" i="20" l="1"/>
  <c r="P23" i="20"/>
  <c r="Q23" i="20"/>
  <c r="R23" i="20"/>
  <c r="S23" i="20"/>
  <c r="O24" i="20"/>
  <c r="P24" i="20"/>
  <c r="Q24" i="20"/>
  <c r="R24" i="20"/>
  <c r="S24" i="20"/>
  <c r="O25" i="20"/>
  <c r="P25" i="20"/>
  <c r="Q25" i="20"/>
  <c r="R25" i="20"/>
  <c r="S25" i="20"/>
  <c r="O26" i="20"/>
  <c r="P26" i="20"/>
  <c r="Q26" i="20"/>
  <c r="R26" i="20"/>
  <c r="S26" i="20"/>
  <c r="O27" i="20"/>
  <c r="P27" i="20"/>
  <c r="Q27" i="20"/>
  <c r="R27" i="20"/>
  <c r="S27" i="20"/>
  <c r="O28" i="20"/>
  <c r="P28" i="20"/>
  <c r="Q28" i="20"/>
  <c r="R28" i="20"/>
  <c r="S28" i="20"/>
  <c r="O29" i="20"/>
  <c r="P29" i="20"/>
  <c r="Q29" i="20"/>
  <c r="R29" i="20"/>
  <c r="S29" i="20"/>
  <c r="O30" i="20"/>
  <c r="P30" i="20"/>
  <c r="Q30" i="20"/>
  <c r="R30" i="20"/>
  <c r="S30" i="20"/>
  <c r="O31" i="20"/>
  <c r="P31" i="20"/>
  <c r="Q31" i="20"/>
  <c r="R31" i="20"/>
  <c r="S31" i="20"/>
  <c r="O32" i="20"/>
  <c r="P32" i="20"/>
  <c r="Q32" i="20"/>
  <c r="R32" i="20"/>
  <c r="S32" i="20"/>
  <c r="O33" i="20"/>
  <c r="P33" i="20"/>
  <c r="Q33" i="20"/>
  <c r="R33" i="20"/>
  <c r="S33" i="20"/>
  <c r="O34" i="20"/>
  <c r="P34" i="20"/>
  <c r="Q34" i="20"/>
  <c r="R34" i="20"/>
  <c r="S34" i="20"/>
  <c r="S22" i="20"/>
  <c r="R22" i="20"/>
  <c r="Q22" i="20"/>
  <c r="P22" i="20"/>
  <c r="P18" i="20"/>
  <c r="P3" i="20"/>
  <c r="Q3" i="20"/>
  <c r="R3" i="20"/>
  <c r="S3" i="20"/>
  <c r="P4" i="20"/>
  <c r="Q4" i="20"/>
  <c r="R4" i="20"/>
  <c r="S4" i="20"/>
  <c r="P5" i="20"/>
  <c r="Q5" i="20"/>
  <c r="R5" i="20"/>
  <c r="S5" i="20"/>
  <c r="P6" i="20"/>
  <c r="Q6" i="20"/>
  <c r="R6" i="20"/>
  <c r="S6" i="20"/>
  <c r="P7" i="20"/>
  <c r="Q7" i="20"/>
  <c r="R7" i="20"/>
  <c r="S7" i="20"/>
  <c r="P8" i="20"/>
  <c r="Q8" i="20"/>
  <c r="R8" i="20"/>
  <c r="S8" i="20"/>
  <c r="P9" i="20"/>
  <c r="Q9" i="20"/>
  <c r="R9" i="20"/>
  <c r="S9" i="20"/>
  <c r="P10" i="20"/>
  <c r="Q10" i="20"/>
  <c r="R10" i="20"/>
  <c r="S10" i="20"/>
  <c r="P11" i="20"/>
  <c r="Q11" i="20"/>
  <c r="R11" i="20"/>
  <c r="S11" i="20"/>
  <c r="P12" i="20"/>
  <c r="Q12" i="20"/>
  <c r="R12" i="20"/>
  <c r="S12" i="20"/>
  <c r="P13" i="20"/>
  <c r="Q13" i="20"/>
  <c r="R13" i="20"/>
  <c r="S13" i="20"/>
  <c r="P14" i="20"/>
  <c r="Q14" i="20"/>
  <c r="R14" i="20"/>
  <c r="S14" i="20"/>
  <c r="P15" i="20"/>
  <c r="Q15" i="20"/>
  <c r="R15" i="20"/>
  <c r="S15" i="20"/>
  <c r="P16" i="20"/>
  <c r="Q16" i="20"/>
  <c r="R16" i="20"/>
  <c r="S16" i="20"/>
  <c r="P17" i="20"/>
  <c r="Q17" i="20"/>
  <c r="R17" i="20"/>
  <c r="S17" i="20"/>
  <c r="Q18" i="20"/>
  <c r="R18" i="20"/>
  <c r="S18" i="20"/>
  <c r="S2" i="20"/>
  <c r="R2" i="20"/>
  <c r="Q2" i="20"/>
  <c r="P2" i="20"/>
  <c r="O2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2" i="20"/>
  <c r="O18" i="20"/>
  <c r="N3" i="20"/>
  <c r="S21" i="20"/>
  <c r="S39" i="20" s="1"/>
  <c r="R21" i="20"/>
  <c r="R39" i="20" s="1"/>
  <c r="Q21" i="20"/>
  <c r="Q39" i="20" s="1"/>
  <c r="P21" i="20"/>
  <c r="P39" i="20" s="1"/>
  <c r="O21" i="20"/>
  <c r="O39" i="20" s="1"/>
  <c r="F136" i="19"/>
  <c r="I1" i="19" l="1"/>
  <c r="L1" i="19"/>
  <c r="K61" i="1" l="1"/>
  <c r="G61" i="1"/>
  <c r="E61" i="1" s="1"/>
  <c r="K62" i="1"/>
  <c r="G62" i="1"/>
  <c r="E62" i="1" s="1"/>
  <c r="K59" i="1" l="1"/>
  <c r="G59" i="1"/>
  <c r="E59" i="1" s="1"/>
  <c r="K58" i="1" l="1"/>
  <c r="G58" i="1"/>
  <c r="E58" i="1" s="1"/>
  <c r="K57" i="1" l="1"/>
  <c r="G57" i="1"/>
  <c r="E57" i="1" s="1"/>
  <c r="K56" i="1" l="1"/>
  <c r="G56" i="1"/>
  <c r="E56" i="1" s="1"/>
  <c r="K54" i="1" l="1"/>
  <c r="G54" i="1"/>
  <c r="E54" i="1" s="1"/>
  <c r="K55" i="1"/>
  <c r="G55" i="1"/>
  <c r="E55" i="1" s="1"/>
  <c r="K60" i="1"/>
  <c r="G60" i="1"/>
  <c r="E60" i="1" s="1"/>
  <c r="K53" i="1" l="1"/>
  <c r="G53" i="1"/>
  <c r="E53" i="1" s="1"/>
  <c r="K52" i="1"/>
  <c r="G52" i="1"/>
  <c r="E52" i="1" s="1"/>
  <c r="K51" i="1" l="1"/>
  <c r="G51" i="1"/>
  <c r="E51" i="1" s="1"/>
  <c r="K50" i="1" l="1"/>
  <c r="G50" i="1"/>
  <c r="E50" i="1" s="1"/>
  <c r="K48" i="1" l="1"/>
  <c r="G48" i="1"/>
  <c r="E48" i="1" s="1"/>
  <c r="K49" i="1"/>
  <c r="G49" i="1"/>
  <c r="E49" i="1" s="1"/>
  <c r="K46" i="1" l="1"/>
  <c r="G46" i="1"/>
  <c r="E46" i="1" s="1"/>
  <c r="K45" i="1" l="1"/>
  <c r="G45" i="1"/>
  <c r="E45" i="1" s="1"/>
  <c r="K47" i="1" l="1"/>
  <c r="G47" i="1"/>
  <c r="E47" i="1" s="1"/>
  <c r="K44" i="1"/>
  <c r="G44" i="1"/>
  <c r="E44" i="1" s="1"/>
  <c r="K41" i="1" l="1"/>
  <c r="K40" i="1"/>
  <c r="K43" i="1"/>
  <c r="G41" i="1"/>
  <c r="E41" i="1" s="1"/>
  <c r="G40" i="1"/>
  <c r="E40" i="1" s="1"/>
  <c r="G43" i="1"/>
  <c r="E43" i="1" s="1"/>
  <c r="K42" i="1" l="1"/>
  <c r="G42" i="1"/>
  <c r="E42" i="1" s="1"/>
  <c r="K37" i="1" l="1"/>
  <c r="K35" i="1"/>
  <c r="G37" i="1"/>
  <c r="E37" i="1" s="1"/>
  <c r="G35" i="1"/>
  <c r="E35" i="1" s="1"/>
  <c r="K34" i="1"/>
  <c r="G34" i="1"/>
  <c r="E34" i="1" s="1"/>
  <c r="K39" i="1"/>
  <c r="K38" i="1"/>
  <c r="G39" i="1"/>
  <c r="E39" i="1" s="1"/>
  <c r="G38" i="1"/>
  <c r="E38" i="1" s="1"/>
  <c r="K36" i="1"/>
  <c r="G36" i="1"/>
  <c r="E36" i="1" s="1"/>
  <c r="K31" i="1"/>
  <c r="G31" i="1"/>
  <c r="E31" i="1" s="1"/>
  <c r="K32" i="1" l="1"/>
  <c r="K30" i="1"/>
  <c r="G32" i="1"/>
  <c r="E32" i="1" s="1"/>
  <c r="G30" i="1"/>
  <c r="E30" i="1" s="1"/>
  <c r="K29" i="1" l="1"/>
  <c r="K28" i="1"/>
  <c r="K27" i="1"/>
  <c r="G29" i="1"/>
  <c r="E29" i="1" s="1"/>
  <c r="G28" i="1"/>
  <c r="E28" i="1" s="1"/>
  <c r="K25" i="1" l="1"/>
  <c r="K26" i="1"/>
  <c r="G25" i="1"/>
  <c r="E25" i="1" s="1"/>
  <c r="G26" i="1"/>
  <c r="E26" i="1" s="1"/>
  <c r="G27" i="1"/>
  <c r="E27" i="1" s="1"/>
  <c r="K24" i="1" l="1"/>
  <c r="G4" i="1"/>
  <c r="E4" i="1" s="1"/>
  <c r="G5" i="1"/>
  <c r="E5" i="1" s="1"/>
  <c r="G6" i="1"/>
  <c r="E6" i="1" s="1"/>
  <c r="G7" i="1"/>
  <c r="E7" i="1" s="1"/>
  <c r="G8" i="1"/>
  <c r="E8" i="1" s="1"/>
  <c r="G9" i="1"/>
  <c r="E9" i="1" s="1"/>
  <c r="G10" i="1"/>
  <c r="E10" i="1" s="1"/>
  <c r="G11" i="1"/>
  <c r="E11" i="1" s="1"/>
  <c r="G12" i="1"/>
  <c r="E12" i="1" s="1"/>
  <c r="G13" i="1"/>
  <c r="E13" i="1" s="1"/>
  <c r="G14" i="1"/>
  <c r="E14" i="1" s="1"/>
  <c r="G15" i="1"/>
  <c r="E15" i="1" s="1"/>
  <c r="G16" i="1"/>
  <c r="E16" i="1" s="1"/>
  <c r="G17" i="1"/>
  <c r="E17" i="1" s="1"/>
  <c r="G18" i="1"/>
  <c r="E18" i="1" s="1"/>
  <c r="G19" i="1"/>
  <c r="E19" i="1" s="1"/>
  <c r="G33" i="1"/>
  <c r="E33" i="1" s="1"/>
  <c r="G20" i="1"/>
  <c r="E20" i="1" s="1"/>
  <c r="G21" i="1"/>
  <c r="E21" i="1" s="1"/>
  <c r="G22" i="1"/>
  <c r="E22" i="1" s="1"/>
  <c r="G23" i="1"/>
  <c r="E23" i="1" s="1"/>
  <c r="G24" i="1"/>
  <c r="E24" i="1" s="1"/>
  <c r="G3" i="1"/>
  <c r="E3" i="1" s="1"/>
  <c r="K22" i="1" l="1"/>
  <c r="K21" i="1"/>
  <c r="K23" i="1"/>
  <c r="K33" i="1" l="1"/>
  <c r="K19" i="1" l="1"/>
  <c r="K20" i="1" l="1"/>
  <c r="K18" i="1"/>
  <c r="K17" i="1"/>
  <c r="K16" i="1"/>
  <c r="K15" i="1" l="1"/>
  <c r="K12" i="1"/>
  <c r="K8" i="1"/>
  <c r="K9" i="1"/>
  <c r="K10" i="1"/>
  <c r="K13" i="1"/>
  <c r="K14" i="1"/>
  <c r="C3" i="22"/>
  <c r="K7" i="1"/>
  <c r="K6" i="1"/>
  <c r="E4" i="23" l="1"/>
  <c r="E5" i="23"/>
  <c r="E6" i="23"/>
  <c r="E7" i="23"/>
  <c r="E8" i="23"/>
  <c r="E9" i="23"/>
  <c r="E10" i="23"/>
  <c r="E3" i="23"/>
  <c r="K11" i="1" l="1"/>
  <c r="K4" i="1"/>
  <c r="K5" i="1"/>
  <c r="K3" i="1"/>
  <c r="B3" i="21" l="1"/>
  <c r="D3" i="22" l="1"/>
  <c r="E3" i="22" s="1"/>
  <c r="N21" i="20" l="1"/>
  <c r="N39" i="20" s="1"/>
  <c r="M21" i="20"/>
  <c r="M39" i="20" s="1"/>
  <c r="L21" i="20"/>
  <c r="L39" i="20" s="1"/>
  <c r="K21" i="20"/>
  <c r="K39" i="20" s="1"/>
  <c r="J21" i="20"/>
  <c r="J39" i="20" s="1"/>
  <c r="I21" i="20"/>
  <c r="I39" i="20" s="1"/>
  <c r="H21" i="20"/>
  <c r="H39" i="20" s="1"/>
  <c r="G21" i="20"/>
  <c r="G39" i="20" s="1"/>
  <c r="F21" i="20"/>
  <c r="F39" i="20" s="1"/>
  <c r="N17" i="20" l="1"/>
  <c r="M17" i="20"/>
  <c r="L17" i="20"/>
  <c r="K17" i="20"/>
  <c r="J17" i="20"/>
  <c r="I17" i="20"/>
  <c r="H17" i="20"/>
  <c r="G17" i="20"/>
  <c r="F17" i="20"/>
  <c r="E17" i="20"/>
  <c r="D17" i="20"/>
  <c r="C17" i="20"/>
  <c r="A17" i="20" l="1"/>
  <c r="N33" i="20" l="1"/>
  <c r="M33" i="20"/>
  <c r="L33" i="20"/>
  <c r="K33" i="20"/>
  <c r="J33" i="20"/>
  <c r="I33" i="20"/>
  <c r="H33" i="20"/>
  <c r="G33" i="20"/>
  <c r="F33" i="20"/>
  <c r="E33" i="20"/>
  <c r="D33" i="20"/>
  <c r="C33" i="20"/>
  <c r="A33" i="20" l="1"/>
  <c r="N16" i="20"/>
  <c r="M16" i="20"/>
  <c r="L16" i="20"/>
  <c r="K16" i="20"/>
  <c r="J16" i="20"/>
  <c r="I16" i="20"/>
  <c r="H16" i="20"/>
  <c r="G16" i="20"/>
  <c r="F16" i="20"/>
  <c r="E16" i="20"/>
  <c r="D16" i="20"/>
  <c r="C16" i="20"/>
  <c r="A16" i="20" l="1"/>
  <c r="N15" i="20" l="1"/>
  <c r="M15" i="20"/>
  <c r="L15" i="20"/>
  <c r="K15" i="20"/>
  <c r="J15" i="20"/>
  <c r="I15" i="20"/>
  <c r="H15" i="20"/>
  <c r="G15" i="20"/>
  <c r="F15" i="20"/>
  <c r="E15" i="20"/>
  <c r="D15" i="20"/>
  <c r="C15" i="20"/>
  <c r="A15" i="20" l="1"/>
  <c r="N14" i="20" l="1"/>
  <c r="M14" i="20"/>
  <c r="L14" i="20"/>
  <c r="K14" i="20"/>
  <c r="J14" i="20"/>
  <c r="I14" i="20"/>
  <c r="H14" i="20"/>
  <c r="G14" i="20"/>
  <c r="F14" i="20"/>
  <c r="E14" i="20"/>
  <c r="D14" i="20"/>
  <c r="C14" i="20"/>
  <c r="A14" i="20" l="1"/>
  <c r="D1" i="23" l="1"/>
  <c r="C3" i="3" s="1"/>
  <c r="D3" i="3" s="1"/>
  <c r="C1" i="23"/>
  <c r="E1" i="23" l="1"/>
  <c r="E3" i="3" s="1"/>
  <c r="F2" i="24" l="1"/>
  <c r="F1" i="24"/>
  <c r="B7" i="21"/>
  <c r="J2" i="20"/>
  <c r="J3" i="20"/>
  <c r="J4" i="20"/>
  <c r="J5" i="20"/>
  <c r="J6" i="20"/>
  <c r="J7" i="20"/>
  <c r="J8" i="20"/>
  <c r="J9" i="20"/>
  <c r="J10" i="20"/>
  <c r="J11" i="20"/>
  <c r="J12" i="20"/>
  <c r="J13" i="20"/>
  <c r="J18" i="20"/>
  <c r="J22" i="20"/>
  <c r="J23" i="20"/>
  <c r="J24" i="20"/>
  <c r="J25" i="20"/>
  <c r="J26" i="20"/>
  <c r="J27" i="20"/>
  <c r="J28" i="20"/>
  <c r="J29" i="20"/>
  <c r="J30" i="20"/>
  <c r="J31" i="20"/>
  <c r="J32" i="20"/>
  <c r="J34" i="20"/>
  <c r="D2" i="20"/>
  <c r="D3" i="20"/>
  <c r="D4" i="20"/>
  <c r="D5" i="20"/>
  <c r="D6" i="20"/>
  <c r="D7" i="20"/>
  <c r="D8" i="20"/>
  <c r="D9" i="20"/>
  <c r="D10" i="20"/>
  <c r="D11" i="20"/>
  <c r="D12" i="20"/>
  <c r="D13" i="20"/>
  <c r="D18" i="20"/>
  <c r="D22" i="20"/>
  <c r="D23" i="20"/>
  <c r="D24" i="20"/>
  <c r="D25" i="20"/>
  <c r="D26" i="20"/>
  <c r="D27" i="20"/>
  <c r="D28" i="20"/>
  <c r="D29" i="20"/>
  <c r="D30" i="20"/>
  <c r="D31" i="20"/>
  <c r="D32" i="20"/>
  <c r="D34" i="20"/>
  <c r="L2" i="20"/>
  <c r="L3" i="20"/>
  <c r="L4" i="20"/>
  <c r="L5" i="20"/>
  <c r="L6" i="20"/>
  <c r="L7" i="20"/>
  <c r="L8" i="20"/>
  <c r="L9" i="20"/>
  <c r="L10" i="20"/>
  <c r="L11" i="20"/>
  <c r="L12" i="20"/>
  <c r="L13" i="20"/>
  <c r="L18" i="20"/>
  <c r="L22" i="20"/>
  <c r="L23" i="20"/>
  <c r="L24" i="20"/>
  <c r="L25" i="20"/>
  <c r="L26" i="20"/>
  <c r="L27" i="20"/>
  <c r="L28" i="20"/>
  <c r="L29" i="20"/>
  <c r="L30" i="20"/>
  <c r="L31" i="20"/>
  <c r="L32" i="20"/>
  <c r="L34" i="20"/>
  <c r="K2" i="20"/>
  <c r="K3" i="20"/>
  <c r="K4" i="20"/>
  <c r="K5" i="20"/>
  <c r="K6" i="20"/>
  <c r="K7" i="20"/>
  <c r="K8" i="20"/>
  <c r="K9" i="20"/>
  <c r="K10" i="20"/>
  <c r="K11" i="20"/>
  <c r="K12" i="20"/>
  <c r="K13" i="20"/>
  <c r="K18" i="20"/>
  <c r="I2" i="20"/>
  <c r="I3" i="20"/>
  <c r="I4" i="20"/>
  <c r="I5" i="20"/>
  <c r="I6" i="20"/>
  <c r="I7" i="20"/>
  <c r="I8" i="20"/>
  <c r="I9" i="20"/>
  <c r="I10" i="20"/>
  <c r="I11" i="20"/>
  <c r="I12" i="20"/>
  <c r="I13" i="20"/>
  <c r="I18" i="20"/>
  <c r="H2" i="20"/>
  <c r="H3" i="20"/>
  <c r="H4" i="20"/>
  <c r="H5" i="20"/>
  <c r="H6" i="20"/>
  <c r="H7" i="20"/>
  <c r="H8" i="20"/>
  <c r="H9" i="20"/>
  <c r="H10" i="20"/>
  <c r="H11" i="20"/>
  <c r="H12" i="20"/>
  <c r="H13" i="20"/>
  <c r="H18" i="20"/>
  <c r="G2" i="20"/>
  <c r="G3" i="20"/>
  <c r="G4" i="20"/>
  <c r="C4" i="20"/>
  <c r="E4" i="20"/>
  <c r="F4" i="20"/>
  <c r="M4" i="20"/>
  <c r="N4" i="20"/>
  <c r="G5" i="20"/>
  <c r="G6" i="20"/>
  <c r="G7" i="20"/>
  <c r="G8" i="20"/>
  <c r="G9" i="20"/>
  <c r="G10" i="20"/>
  <c r="G11" i="20"/>
  <c r="G12" i="20"/>
  <c r="C12" i="20"/>
  <c r="E12" i="20"/>
  <c r="F12" i="20"/>
  <c r="M12" i="20"/>
  <c r="N12" i="20"/>
  <c r="G13" i="20"/>
  <c r="G18" i="20"/>
  <c r="F2" i="20"/>
  <c r="F3" i="20"/>
  <c r="C3" i="20"/>
  <c r="E3" i="20"/>
  <c r="M3" i="20"/>
  <c r="F5" i="20"/>
  <c r="F6" i="20"/>
  <c r="F7" i="20"/>
  <c r="C7" i="20"/>
  <c r="E7" i="20"/>
  <c r="M7" i="20"/>
  <c r="N7" i="20"/>
  <c r="F8" i="20"/>
  <c r="F9" i="20"/>
  <c r="F10" i="20"/>
  <c r="F11" i="20"/>
  <c r="C11" i="20"/>
  <c r="E11" i="20"/>
  <c r="M11" i="20"/>
  <c r="N11" i="20"/>
  <c r="F13" i="20"/>
  <c r="F18" i="20"/>
  <c r="E2" i="20"/>
  <c r="C2" i="20"/>
  <c r="M2" i="20"/>
  <c r="N2" i="20"/>
  <c r="E5" i="20"/>
  <c r="E6" i="20"/>
  <c r="C6" i="20"/>
  <c r="M6" i="20"/>
  <c r="N6" i="20"/>
  <c r="E8" i="20"/>
  <c r="E9" i="20"/>
  <c r="E10" i="20"/>
  <c r="C10" i="20"/>
  <c r="M10" i="20"/>
  <c r="N10" i="20"/>
  <c r="E13" i="20"/>
  <c r="E18" i="20"/>
  <c r="C5" i="20"/>
  <c r="M5" i="20"/>
  <c r="N5" i="20"/>
  <c r="C9" i="20"/>
  <c r="M9" i="20"/>
  <c r="N9" i="20"/>
  <c r="C13" i="20"/>
  <c r="M13" i="20"/>
  <c r="N13" i="20"/>
  <c r="C18" i="20"/>
  <c r="C22" i="20"/>
  <c r="E22" i="20"/>
  <c r="F22" i="20"/>
  <c r="G22" i="20"/>
  <c r="H22" i="20"/>
  <c r="I22" i="20"/>
  <c r="K22" i="20"/>
  <c r="M22" i="20"/>
  <c r="N22" i="20"/>
  <c r="C23" i="20"/>
  <c r="E23" i="20"/>
  <c r="F23" i="20"/>
  <c r="G23" i="20"/>
  <c r="H23" i="20"/>
  <c r="I23" i="20"/>
  <c r="K23" i="20"/>
  <c r="M23" i="20"/>
  <c r="N23" i="20"/>
  <c r="C24" i="20"/>
  <c r="E24" i="20"/>
  <c r="F24" i="20"/>
  <c r="G24" i="20"/>
  <c r="H24" i="20"/>
  <c r="I24" i="20"/>
  <c r="K24" i="20"/>
  <c r="M24" i="20"/>
  <c r="N24" i="20"/>
  <c r="C25" i="20"/>
  <c r="E25" i="20"/>
  <c r="F25" i="20"/>
  <c r="G25" i="20"/>
  <c r="H25" i="20"/>
  <c r="I25" i="20"/>
  <c r="K25" i="20"/>
  <c r="M25" i="20"/>
  <c r="N25" i="20"/>
  <c r="C26" i="20"/>
  <c r="E26" i="20"/>
  <c r="F26" i="20"/>
  <c r="G26" i="20"/>
  <c r="H26" i="20"/>
  <c r="I26" i="20"/>
  <c r="K26" i="20"/>
  <c r="M26" i="20"/>
  <c r="N26" i="20"/>
  <c r="C27" i="20"/>
  <c r="E27" i="20"/>
  <c r="F27" i="20"/>
  <c r="G27" i="20"/>
  <c r="H27" i="20"/>
  <c r="I27" i="20"/>
  <c r="K27" i="20"/>
  <c r="M27" i="20"/>
  <c r="N27" i="20"/>
  <c r="C28" i="20"/>
  <c r="E28" i="20"/>
  <c r="F28" i="20"/>
  <c r="G28" i="20"/>
  <c r="H28" i="20"/>
  <c r="I28" i="20"/>
  <c r="K28" i="20"/>
  <c r="M28" i="20"/>
  <c r="N28" i="20"/>
  <c r="C29" i="20"/>
  <c r="E29" i="20"/>
  <c r="F29" i="20"/>
  <c r="G29" i="20"/>
  <c r="H29" i="20"/>
  <c r="I29" i="20"/>
  <c r="K29" i="20"/>
  <c r="M29" i="20"/>
  <c r="N29" i="20"/>
  <c r="C30" i="20"/>
  <c r="E30" i="20"/>
  <c r="F30" i="20"/>
  <c r="G30" i="20"/>
  <c r="H30" i="20"/>
  <c r="I30" i="20"/>
  <c r="K30" i="20"/>
  <c r="M30" i="20"/>
  <c r="N30" i="20"/>
  <c r="C31" i="20"/>
  <c r="E31" i="20"/>
  <c r="F31" i="20"/>
  <c r="G31" i="20"/>
  <c r="H31" i="20"/>
  <c r="I31" i="20"/>
  <c r="K31" i="20"/>
  <c r="M31" i="20"/>
  <c r="N31" i="20"/>
  <c r="C32" i="20"/>
  <c r="E32" i="20"/>
  <c r="F32" i="20"/>
  <c r="G32" i="20"/>
  <c r="H32" i="20"/>
  <c r="I32" i="20"/>
  <c r="K32" i="20"/>
  <c r="M32" i="20"/>
  <c r="N32" i="20"/>
  <c r="C34" i="20"/>
  <c r="E34" i="20"/>
  <c r="F34" i="20"/>
  <c r="G34" i="20"/>
  <c r="H34" i="20"/>
  <c r="I34" i="20"/>
  <c r="K34" i="20"/>
  <c r="M34" i="20"/>
  <c r="N34" i="20"/>
  <c r="M8" i="20"/>
  <c r="N8" i="20"/>
  <c r="M18" i="20"/>
  <c r="N18" i="20"/>
  <c r="C21" i="20"/>
  <c r="C39" i="20" s="1"/>
  <c r="D21" i="20"/>
  <c r="D39" i="20" s="1"/>
  <c r="E21" i="20"/>
  <c r="E39" i="20" s="1"/>
  <c r="A3" i="20" l="1"/>
  <c r="A6" i="20"/>
  <c r="A18" i="20"/>
  <c r="A32" i="20"/>
  <c r="A28" i="20"/>
  <c r="A22" i="20"/>
  <c r="A11" i="20"/>
  <c r="A34" i="20"/>
  <c r="A29" i="20"/>
  <c r="A26" i="20"/>
  <c r="A23" i="20"/>
  <c r="A13" i="20"/>
  <c r="A5" i="20"/>
  <c r="A10" i="20"/>
  <c r="A12" i="20"/>
  <c r="A4" i="20"/>
  <c r="A30" i="20"/>
  <c r="A24" i="20"/>
  <c r="A2" i="20"/>
  <c r="A31" i="20"/>
  <c r="A27" i="20"/>
  <c r="A25" i="20"/>
  <c r="A9" i="20"/>
  <c r="A7" i="20"/>
  <c r="B6" i="21"/>
  <c r="C8" i="20"/>
  <c r="A8" i="20" s="1"/>
  <c r="L19" i="20"/>
  <c r="G19" i="20"/>
  <c r="K19" i="20"/>
  <c r="J35" i="20"/>
  <c r="J19" i="20"/>
  <c r="D19" i="20"/>
  <c r="D35" i="20"/>
  <c r="F3" i="24"/>
  <c r="M19" i="20"/>
  <c r="F19" i="20"/>
  <c r="L35" i="20"/>
  <c r="E35" i="20"/>
  <c r="E19" i="20"/>
  <c r="C35" i="20"/>
  <c r="M35" i="20"/>
  <c r="G35" i="20"/>
  <c r="H19" i="20"/>
  <c r="I19" i="20"/>
  <c r="N19" i="20"/>
  <c r="F35" i="20"/>
  <c r="I35" i="20"/>
  <c r="N35" i="20"/>
  <c r="H35" i="20"/>
  <c r="K35" i="20"/>
  <c r="A19" i="20" l="1"/>
  <c r="P19" i="20"/>
  <c r="S35" i="20"/>
  <c r="Q19" i="20"/>
  <c r="O35" i="20"/>
  <c r="R19" i="20"/>
  <c r="P35" i="20"/>
  <c r="Q35" i="20"/>
  <c r="S19" i="20"/>
  <c r="R35" i="20"/>
  <c r="O19" i="20"/>
  <c r="D7" i="21"/>
  <c r="D8" i="21" s="1"/>
  <c r="C19" i="20"/>
  <c r="C37" i="20" s="1"/>
  <c r="K37" i="20"/>
  <c r="K40" i="20" s="1"/>
  <c r="K41" i="20" s="1"/>
  <c r="G37" i="20"/>
  <c r="G40" i="20" s="1"/>
  <c r="G41" i="20" s="1"/>
  <c r="M37" i="20"/>
  <c r="M40" i="20" s="1"/>
  <c r="M41" i="20" s="1"/>
  <c r="J37" i="20"/>
  <c r="J40" i="20" s="1"/>
  <c r="J41" i="20" s="1"/>
  <c r="L37" i="20"/>
  <c r="L40" i="20" s="1"/>
  <c r="L41" i="20" s="1"/>
  <c r="D37" i="20"/>
  <c r="D40" i="20" s="1"/>
  <c r="D41" i="20" s="1"/>
  <c r="H37" i="20"/>
  <c r="H40" i="20" s="1"/>
  <c r="H41" i="20" s="1"/>
  <c r="F37" i="20"/>
  <c r="F40" i="20" s="1"/>
  <c r="F41" i="20" s="1"/>
  <c r="E37" i="20"/>
  <c r="E40" i="20" s="1"/>
  <c r="E41" i="20" s="1"/>
  <c r="I37" i="20"/>
  <c r="I40" i="20" s="1"/>
  <c r="I41" i="20" s="1"/>
  <c r="N37" i="20"/>
  <c r="N40" i="20" s="1"/>
  <c r="N41" i="20" s="1"/>
  <c r="C40" i="20" l="1"/>
  <c r="C41" i="20" s="1"/>
  <c r="S37" i="20"/>
  <c r="S40" i="20" s="1"/>
  <c r="S41" i="20" s="1"/>
  <c r="O37" i="20"/>
  <c r="O40" i="20" s="1"/>
  <c r="O41" i="20" s="1"/>
  <c r="R37" i="20"/>
  <c r="R40" i="20" s="1"/>
  <c r="R41" i="20" s="1"/>
  <c r="P37" i="20"/>
  <c r="P40" i="20" s="1"/>
  <c r="P41" i="20" s="1"/>
  <c r="Q37" i="20"/>
  <c r="Q40" i="20" s="1"/>
  <c r="Q41" i="20" s="1"/>
  <c r="J7" i="21"/>
  <c r="J1" i="1"/>
  <c r="C2" i="3" s="1"/>
  <c r="I1" i="1"/>
  <c r="B2" i="3" s="1"/>
  <c r="K1" i="1"/>
  <c r="E2" i="3" s="1"/>
  <c r="E4" i="3" s="1"/>
  <c r="A37" i="20" l="1"/>
  <c r="C4" i="3"/>
  <c r="C8" i="3" s="1"/>
  <c r="D2" i="3"/>
  <c r="B4" i="21" l="1"/>
  <c r="B8" i="21" s="1"/>
  <c r="D4" i="3"/>
  <c r="A35" i="20"/>
  <c r="G8" i="21" l="1"/>
  <c r="B11" i="21"/>
</calcChain>
</file>

<file path=xl/sharedStrings.xml><?xml version="1.0" encoding="utf-8"?>
<sst xmlns="http://schemas.openxmlformats.org/spreadsheetml/2006/main" count="941" uniqueCount="319">
  <si>
    <t>M ID</t>
  </si>
  <si>
    <t>Member Name</t>
  </si>
  <si>
    <t>Pacakge</t>
  </si>
  <si>
    <t>Monthly</t>
  </si>
  <si>
    <t>Balance</t>
  </si>
  <si>
    <t>Invoice Date</t>
  </si>
  <si>
    <t>Amount</t>
  </si>
  <si>
    <t xml:space="preserve">Total Cash </t>
  </si>
  <si>
    <t>Cash</t>
  </si>
  <si>
    <t>Item</t>
  </si>
  <si>
    <t>Pacakage Start Date</t>
  </si>
  <si>
    <t>Pacakage End Date</t>
  </si>
  <si>
    <t>Balance in Software</t>
  </si>
  <si>
    <t>Total</t>
  </si>
  <si>
    <t>Date</t>
  </si>
  <si>
    <t>Studio Share</t>
  </si>
  <si>
    <t>Unofficial</t>
  </si>
  <si>
    <t>Construction</t>
  </si>
  <si>
    <t>Rent</t>
  </si>
  <si>
    <t>Official</t>
  </si>
  <si>
    <t>Petty Cash</t>
  </si>
  <si>
    <t>Utility</t>
  </si>
  <si>
    <t>Misc</t>
  </si>
  <si>
    <t>Protein Purchase</t>
  </si>
  <si>
    <t>PT Share</t>
  </si>
  <si>
    <t>Salary</t>
  </si>
  <si>
    <t>Marketing</t>
  </si>
  <si>
    <t>Wasif Share</t>
  </si>
  <si>
    <t>Accessories</t>
  </si>
  <si>
    <t>Sales Tax</t>
  </si>
  <si>
    <t>Particulars</t>
  </si>
  <si>
    <t>Type</t>
  </si>
  <si>
    <t>Off / Unoff</t>
  </si>
  <si>
    <t>Month of</t>
  </si>
  <si>
    <t>GRAND TOTAL</t>
  </si>
  <si>
    <t>TOTAL</t>
  </si>
  <si>
    <t>CASH FLOW POSITION</t>
  </si>
  <si>
    <t>CASH AVAILABLE IN ACCOUNT</t>
  </si>
  <si>
    <t>Amount Distributed</t>
  </si>
  <si>
    <t>Total Expense</t>
  </si>
  <si>
    <t>Total Cash Sale</t>
  </si>
  <si>
    <t>Adnan Share</t>
  </si>
  <si>
    <t>Usman Share</t>
  </si>
  <si>
    <t>Usman</t>
  </si>
  <si>
    <t>Misc Sale</t>
  </si>
  <si>
    <t>Updated on</t>
  </si>
  <si>
    <t>Diesel</t>
  </si>
  <si>
    <t>Adnan</t>
  </si>
  <si>
    <t>Description</t>
  </si>
  <si>
    <t>Deposit</t>
  </si>
  <si>
    <t>Total Deposit</t>
  </si>
  <si>
    <t>Account</t>
  </si>
  <si>
    <t>Juice Bar Purchase</t>
  </si>
  <si>
    <t>Kitchen Equipments</t>
  </si>
  <si>
    <t>Kitchen</t>
  </si>
  <si>
    <t>Legal Professional Charges</t>
  </si>
  <si>
    <t>XCAL Food Purchase</t>
  </si>
  <si>
    <t>XCAL Sale Feeded</t>
  </si>
  <si>
    <t>Paid up Capital</t>
  </si>
  <si>
    <t>Paid by</t>
  </si>
  <si>
    <t>Wasif</t>
  </si>
  <si>
    <t>Ovais Gigi</t>
  </si>
  <si>
    <t>Ahsan Gigi</t>
  </si>
  <si>
    <t>Days</t>
  </si>
  <si>
    <t>Mohammad Afzal Ilyas Gigi</t>
  </si>
  <si>
    <t>Nabil Jangda</t>
  </si>
  <si>
    <t>Cash Sale 12.03.20</t>
  </si>
  <si>
    <t>Cash Sale 13.03.20</t>
  </si>
  <si>
    <t>Cash Sale 14.03.20</t>
  </si>
  <si>
    <t>Premium 7 days</t>
  </si>
  <si>
    <t>Premium 14 days</t>
  </si>
  <si>
    <t>Premium 21 days</t>
  </si>
  <si>
    <t>Premium 30 days</t>
  </si>
  <si>
    <t>Traditional 7 days</t>
  </si>
  <si>
    <t>Traditional 14 days</t>
  </si>
  <si>
    <t>Traditional 21 days</t>
  </si>
  <si>
    <t>Traditional 30 days</t>
  </si>
  <si>
    <t>Usman Yunus Ghani</t>
  </si>
  <si>
    <t>Mohammad Ilyas Gigi</t>
  </si>
  <si>
    <t>Mohammed Afzal Ilyas Gigi</t>
  </si>
  <si>
    <t>Nida Afzal</t>
  </si>
  <si>
    <t>Arikah Usman Ghani</t>
  </si>
  <si>
    <t>Consultancy Charges - 2nd Installment Part Payment - Paid to Kevin</t>
  </si>
  <si>
    <t>Packaging Accessories</t>
  </si>
  <si>
    <t>Paint and Polish Work - Paid to Imran Shams</t>
  </si>
  <si>
    <t>Construction Cash</t>
  </si>
  <si>
    <t>Kitchen Equipments &amp; Installation Charges-3rd Payment - Paid to Raj Hotel Equipments-Inv# RHE515253</t>
  </si>
  <si>
    <t>Purchase Food Material - Paid to Kevin</t>
  </si>
  <si>
    <t>Kitchen Equipments &amp; Installation Charges-Final Payment- Paid to Raj Hotel Equipments-Inv# RHE515253</t>
  </si>
  <si>
    <t>XCAL Website Development Charges - Paid to Cybeinc against Inv# CYB-05012020</t>
  </si>
  <si>
    <t>Purchase Packaging Material for Food-Paid to Disposable Food Packages against Receipt# 20-200-000777</t>
  </si>
  <si>
    <t>Consultancy Charges - 2nd Installment Balance Payment - Paid to Kevin</t>
  </si>
  <si>
    <t>Purchase Food Material - Paid to Kashif Seasonal Fresh against Inv# 401-17012020</t>
  </si>
  <si>
    <t>Purchase Food Material - Paid to Kashif Seasonal Fresh against Inv# 402-17012020</t>
  </si>
  <si>
    <t>Purchase Food Material - Paid to Kashif Seasonal Fresh against Inv# 403-23012020</t>
  </si>
  <si>
    <t>Purchase Food Material - Paid to Kashif Seasonal Fresh against Inv# 404-08022020</t>
  </si>
  <si>
    <t>Samsung Galaxy A01 Mobile Purchase for XCAL</t>
  </si>
  <si>
    <t>2 Delivery Bags Purchase for XCAL - Paid to International Bags Manufacturer against Job Order# 00931</t>
  </si>
  <si>
    <t>January Salary - Raees (XCAL - Chef)</t>
  </si>
  <si>
    <t>January Salary - Kamran Hafeez (XCAL - Cook)</t>
  </si>
  <si>
    <t>January Salary - Muslim (XCAL - Cook)</t>
  </si>
  <si>
    <t>January Salary - Nihal Kumar (XCAL - Dishwasher)</t>
  </si>
  <si>
    <t>February Salary - Muslim (XCAL - Cook)</t>
  </si>
  <si>
    <t>February Salary - Nihal Kumar (XCAL - Dishwasher)</t>
  </si>
  <si>
    <t>1 Delivery Bag Purchase for XCAL - Paid to International Bags Manufacturer against Job Order# 00934</t>
  </si>
  <si>
    <t>Purchase Packaging Material for Food</t>
  </si>
  <si>
    <t>Purchase Food Material - Paid to Kashif Seasonal Fresh against Inv# 406-14022020</t>
  </si>
  <si>
    <t>Purchase Food Material - Paid to Kashif Seasonal Fresh against Inv# 405-12022020</t>
  </si>
  <si>
    <t>Purchase Food Material - Paid to Kashif Seasonal Fresh against Inv# 301-10022020</t>
  </si>
  <si>
    <t>3 Camera Purchased with Material and Complete Installation</t>
  </si>
  <si>
    <t>Huawei Scale Purchase for XCAL</t>
  </si>
  <si>
    <t>Purchase Food Material - Paid to Kashif Seasonal Fresh against Inv# 409-21022020</t>
  </si>
  <si>
    <t>Purchase Food Material - Paid to Kashif Seasonal Fresh against Inv# 408-19022020</t>
  </si>
  <si>
    <t>Purchase Food Material - Paid to Kashif Seasonal Fresh against Inv# 407-17022020</t>
  </si>
  <si>
    <t>Consultancy Charges - 3rd and Final Installment - Paid to Kevin</t>
  </si>
  <si>
    <t>XCAL Website Development Charges - Paid to Cybeinc against Inv# CYB-05022020</t>
  </si>
  <si>
    <t>February Salary - Kevin Bobby Samuel (XCAL - Helper)</t>
  </si>
  <si>
    <t>Purchase Food Material - Paid to Kashif Seasonal Fresh against Inv# 358-29022020</t>
  </si>
  <si>
    <t>Purchase Food Material - Paid to Kashif Seasonal Fresh against Inv# 901-28022020</t>
  </si>
  <si>
    <t>Purchase Food Material - Paid to Kashif Seasonal Fresh against Inv# 411-27022020</t>
  </si>
  <si>
    <t>Purchase Food Material - Paid to Kashif Seasonal Fresh against Inv# 410-25022020</t>
  </si>
  <si>
    <t>February Salary - No Absent Salary (XCAL - Persons)</t>
  </si>
  <si>
    <t>Gas Bill</t>
  </si>
  <si>
    <t>Philips Air Fryer HD-9220 Purchase for XCAL</t>
  </si>
  <si>
    <t>Photography - XCAL</t>
  </si>
  <si>
    <t>Purchase Food Material - Paid to Kashif Seasonal Fresh against Inv# 905-05032020</t>
  </si>
  <si>
    <t>Purchase Food Material - Paid to Kashif Seasonal Fresh against Inv# 904-04032020</t>
  </si>
  <si>
    <t>Purchase Food Material - Paid to Kashif Seasonal Fresh against Inv# 902-03032020</t>
  </si>
  <si>
    <t>February Salary - Fiza Zahid (XCAL)</t>
  </si>
  <si>
    <t>Wall Rack &amp; Table Counter with Drawer Charges for XCAL - Paid to A.M. Traders</t>
  </si>
  <si>
    <t>XCAL Round Sticker-6000 Pcs &amp; Rectangle Sticker-6200 Pcs - Paid to Habib Wakeel against Inv# C 3686</t>
  </si>
  <si>
    <t>XCAL Standee - 2 Standees - Paid to Habib Wakeel against Inv# C 3687</t>
  </si>
  <si>
    <t>Purchase Food Material - Paid to Kashif Seasonal Fresh against Inv# 414-12032020</t>
  </si>
  <si>
    <t>Purchase Food Material - Paid to Kashif Seasonal Fresh against Inv# 412-09032020</t>
  </si>
  <si>
    <t>150 Delivery Bags for Customers &amp; 12 Aprons for XCAL</t>
  </si>
  <si>
    <t>Barcode Printer, Stickers &amp; Ribbon Purchase for XCAL - Paid to Arshi Computer against est# CA 000950.</t>
  </si>
  <si>
    <t>20087 - March Salary - Kevin Joseph (XCAL - Chef)</t>
  </si>
  <si>
    <t>20088 - March Salary - Muslim (XCAL - Assistant Chef)</t>
  </si>
  <si>
    <t>20089 - March Salary - Nihal Kumar (XCAL - Dishwasher)</t>
  </si>
  <si>
    <t>20090 - March Salary - Kevin Bobby Samuel (XCAL - Helper)</t>
  </si>
  <si>
    <t>XCAL Website Development Charges - Paid to Cybeinc against Inv# CYB-05032020</t>
  </si>
  <si>
    <t>Purchase Food Material - Paid to Kashif Seasonal Fresh against Inv# 419-19032020</t>
  </si>
  <si>
    <t>Videos - XCAL</t>
  </si>
  <si>
    <t>Purchase Food Material - Paid to Kashif Seasonal Fresh against Inv# 417-20042020</t>
  </si>
  <si>
    <t>20087 - April Salary - Kevin Joseph (XCAL - Chef)</t>
  </si>
  <si>
    <t>20088 - April Salary - Muslim (XCAL - Assistant Chef)</t>
  </si>
  <si>
    <t>20089 - April Salary - Nihal Kumar (XCAL - Dishwasher)</t>
  </si>
  <si>
    <t>20090 - April Salary - Kevin Bobby Samuel (XCAL - Helper)</t>
  </si>
  <si>
    <t>XCAL Mobile Bill# 03212502600</t>
  </si>
  <si>
    <t xml:space="preserve"> 7-Oct-2019</t>
  </si>
  <si>
    <t>Kitchen Equipments &amp; Installation Charges - Advance - Paid to Raj Hotel Equipments - Inv# RHE515253</t>
  </si>
  <si>
    <t xml:space="preserve"> 10-Oct-2019</t>
  </si>
  <si>
    <t>Consultancy Charges - Advance - Paid to Kevin</t>
  </si>
  <si>
    <t xml:space="preserve"> 9-Nov-2019</t>
  </si>
  <si>
    <t>Kitchen Equipments &amp; Installation Charges-2nd Payment - Paid to Raj Hotel Equipments-Inv# RHE515253</t>
  </si>
  <si>
    <t xml:space="preserve"> 3-Dec-2019</t>
  </si>
  <si>
    <t xml:space="preserve"> 11-Dec-2019</t>
  </si>
  <si>
    <t>Purchase Kitchen Utensils</t>
  </si>
  <si>
    <t xml:space="preserve"> 19-Dec-2019</t>
  </si>
  <si>
    <t xml:space="preserve"> 24-Dec-2019</t>
  </si>
  <si>
    <t xml:space="preserve"> 26-Dec-2019</t>
  </si>
  <si>
    <t xml:space="preserve"> 4-Jan-2020</t>
  </si>
  <si>
    <t xml:space="preserve"> 17-Jan-2020</t>
  </si>
  <si>
    <t xml:space="preserve"> 20-Jan-2020</t>
  </si>
  <si>
    <t xml:space="preserve"> 24-Jan-2020</t>
  </si>
  <si>
    <t xml:space="preserve"> 25-Jan-2020</t>
  </si>
  <si>
    <t xml:space="preserve"> 4-Feb-2020</t>
  </si>
  <si>
    <t xml:space="preserve"> 11-Feb-2020</t>
  </si>
  <si>
    <t xml:space="preserve"> 12-Feb-2020</t>
  </si>
  <si>
    <t xml:space="preserve"> 14-Feb-2020</t>
  </si>
  <si>
    <t xml:space="preserve"> 17-Feb-2020</t>
  </si>
  <si>
    <t xml:space="preserve"> 18-Feb-2020</t>
  </si>
  <si>
    <t xml:space="preserve"> 21-Feb-2020</t>
  </si>
  <si>
    <t xml:space="preserve"> 24-Feb-2020</t>
  </si>
  <si>
    <t xml:space="preserve"> 2-Mar-2020</t>
  </si>
  <si>
    <t xml:space="preserve"> 3-Mar-2020</t>
  </si>
  <si>
    <t xml:space="preserve"> 4-Mar-2020</t>
  </si>
  <si>
    <t xml:space="preserve"> 5-Mar-2020</t>
  </si>
  <si>
    <t xml:space="preserve"> 7-Mar-2020</t>
  </si>
  <si>
    <t xml:space="preserve"> 10-Mar-2020</t>
  </si>
  <si>
    <t xml:space="preserve"> 11-Mar-2020</t>
  </si>
  <si>
    <t xml:space="preserve"> 12-Mar-2020</t>
  </si>
  <si>
    <t xml:space="preserve"> 13-Mar-2020</t>
  </si>
  <si>
    <t xml:space="preserve"> 16-Mar-2020</t>
  </si>
  <si>
    <t xml:space="preserve"> 20-Mar-2020</t>
  </si>
  <si>
    <t xml:space="preserve"> 30-Mar-2020</t>
  </si>
  <si>
    <t xml:space="preserve"> 6-Apr-2020</t>
  </si>
  <si>
    <t xml:space="preserve"> 14-Apr-2020</t>
  </si>
  <si>
    <t xml:space="preserve"> 22-Apr-2020</t>
  </si>
  <si>
    <t xml:space="preserve"> 27-Apr-2020</t>
  </si>
  <si>
    <t xml:space="preserve"> 5-May-2020</t>
  </si>
  <si>
    <t xml:space="preserve"> 7-May-2020</t>
  </si>
  <si>
    <t xml:space="preserve"> 16-May-2020</t>
  </si>
  <si>
    <t>Cash Sale 01.06.20</t>
  </si>
  <si>
    <t>Paidup Capital - Wasif Share</t>
  </si>
  <si>
    <t>Paidup Capital - Adnan Share</t>
  </si>
  <si>
    <t>Paidup Capital - Usman Share</t>
  </si>
  <si>
    <t>Uzma Sattar</t>
  </si>
  <si>
    <t>Mumtaz Ilyas Gigi</t>
  </si>
  <si>
    <t>K Electric Bill</t>
  </si>
  <si>
    <t>XCAL Account</t>
  </si>
  <si>
    <t>UYG DIB Current</t>
  </si>
  <si>
    <t>XCAL</t>
  </si>
  <si>
    <t>Payment Received Date</t>
  </si>
  <si>
    <t>Cash Sale 04.06.20</t>
  </si>
  <si>
    <t>20087 - May Salary - Kevin Joseph (XCAL - Chef)</t>
  </si>
  <si>
    <t>20088 - May Salary - Muslim (XCAL - Assistant Chef)</t>
  </si>
  <si>
    <t>20089 - May Salary - Nihal Kumar (XCAL - Dishwasher)</t>
  </si>
  <si>
    <t>20090 - May Salary - Kevin Bobby Samuel (XCAL - Helper)</t>
  </si>
  <si>
    <t>Cash Sale 05.06.20</t>
  </si>
  <si>
    <t>Bracket Fan</t>
  </si>
  <si>
    <t>Cash Sale 11.06.20</t>
  </si>
  <si>
    <t>35,000 SMS @ 0.34 - Paid to 1st 4 Connect (Pvt) Limited against E-bill# 34582</t>
  </si>
  <si>
    <t>Ariba Gigi</t>
  </si>
  <si>
    <t>Murtaza Salim</t>
  </si>
  <si>
    <t>Premium 30 days - Dinner</t>
  </si>
  <si>
    <t>Premium 21 days - Dinner</t>
  </si>
  <si>
    <t>Premium 14 days - Dinner</t>
  </si>
  <si>
    <t>Premium 7 days - Dinner</t>
  </si>
  <si>
    <t>Traditional 30 days - Dinner</t>
  </si>
  <si>
    <t>Traditional 21 days - Dinner</t>
  </si>
  <si>
    <t>Traditional 14 days - Dinner</t>
  </si>
  <si>
    <t>Traditional 7 days - Dinner</t>
  </si>
  <si>
    <t>Premium 30 days - Lunch</t>
  </si>
  <si>
    <t>Premium 21 days - Lunch</t>
  </si>
  <si>
    <t>Premium 14 days - Lunch</t>
  </si>
  <si>
    <t>Premium 7 days - Lunch</t>
  </si>
  <si>
    <t>Traditional 30 days - Lunch</t>
  </si>
  <si>
    <t>Traditional 21 days - Lunch</t>
  </si>
  <si>
    <t>Traditional 14 days - Lunch</t>
  </si>
  <si>
    <t>Traditional 7 days - Lunch</t>
  </si>
  <si>
    <t>Cash Sale 13.06.20</t>
  </si>
  <si>
    <t>Month Of</t>
  </si>
  <si>
    <t>Rent February 2020</t>
  </si>
  <si>
    <t>Rent January 2020</t>
  </si>
  <si>
    <t>Rent March 2020</t>
  </si>
  <si>
    <t>Rent April 2020</t>
  </si>
  <si>
    <t>Rent May 2020</t>
  </si>
  <si>
    <t>Rent June 2020</t>
  </si>
  <si>
    <t>Cash Sale 17.06.20</t>
  </si>
  <si>
    <t>Sale</t>
  </si>
  <si>
    <t>Expense</t>
  </si>
  <si>
    <t>Profit / Loss</t>
  </si>
  <si>
    <t>Cash Sale 18.06.20</t>
  </si>
  <si>
    <t>Hassan Asad</t>
  </si>
  <si>
    <t>Premium 30 days - Breakfast &amp; Lunch</t>
  </si>
  <si>
    <t>Premium 21 days - Breakfast &amp; Lunch</t>
  </si>
  <si>
    <t>Premium 14 days - Breakfast &amp; Lunch</t>
  </si>
  <si>
    <t>Premium 7 days - Breakfast &amp; Lunch</t>
  </si>
  <si>
    <t>Traditional 30 days - Breakfast &amp; Lunch</t>
  </si>
  <si>
    <t>Traditional 21 days - Breakfast &amp; Lunch</t>
  </si>
  <si>
    <t>Traditional 14 days - Breakfast &amp; Lunch</t>
  </si>
  <si>
    <t>Traditional 7 days - Breakfast &amp; Lunch</t>
  </si>
  <si>
    <t>Premium 30 days - Lunch &amp; Dinner</t>
  </si>
  <si>
    <t>Premium 21 days - Lunch &amp; Dinner</t>
  </si>
  <si>
    <t>Premium 14 days - Lunch &amp; Dinner</t>
  </si>
  <si>
    <t>Premium 7 days - Lunch &amp; Dinner</t>
  </si>
  <si>
    <t>Traditional 30 days - Lunch &amp; Dinner</t>
  </si>
  <si>
    <t>Traditional 21 days - Lunch &amp; Dinner</t>
  </si>
  <si>
    <t>Traditional 14 days - Lunch &amp; Dinner</t>
  </si>
  <si>
    <t>Traditional 7 days - Lunch &amp; Dinner</t>
  </si>
  <si>
    <t>Mohammed Ashraf</t>
  </si>
  <si>
    <t>Saad Rehman</t>
  </si>
  <si>
    <t>Ejaz ur Rehman</t>
  </si>
  <si>
    <t>Cash Sale 24.06.20</t>
  </si>
  <si>
    <t>SB - 25/06/2020</t>
  </si>
  <si>
    <t>Saaid</t>
  </si>
  <si>
    <t>Traditional - Organic - 14 days</t>
  </si>
  <si>
    <t>Cash Sale 27.06.20</t>
  </si>
  <si>
    <t>Premium 1 day</t>
  </si>
  <si>
    <t>Traditional 1 day</t>
  </si>
  <si>
    <t>Cash Sale 29.06.20</t>
  </si>
  <si>
    <t>XCAL Social Media Management Charges - Paid to Cybeinc against INV-CYB#0077</t>
  </si>
  <si>
    <t>Rent July 2020</t>
  </si>
  <si>
    <t>Facebook Marketing</t>
  </si>
  <si>
    <t>Cash Sale 01.07.20</t>
  </si>
  <si>
    <t>Kitchen Petty Cash</t>
  </si>
  <si>
    <t>Kitchen Petty Cash Given</t>
  </si>
  <si>
    <t>Kitchen Petty Cash in Hand</t>
  </si>
  <si>
    <t>Cash Sale 03.07.20</t>
  </si>
  <si>
    <t>20087 - June Salary - Kevin Joseph (XCAL - Chef)</t>
  </si>
  <si>
    <t>20088 - June Salary - Muslim (XCAL - Assistant Chef)</t>
  </si>
  <si>
    <t>20089 - June Salary - Nihal Kumar (XCAL - Dishwasher)</t>
  </si>
  <si>
    <t>20090 - June Salary - Kevin Bobby Samuel (XCAL - Helper)</t>
  </si>
  <si>
    <t>Guard Salary</t>
  </si>
  <si>
    <t>Sameer Ahmedani</t>
  </si>
  <si>
    <t>Cash Sale 07.07.20</t>
  </si>
  <si>
    <t>Cash Sale 08.07.20</t>
  </si>
  <si>
    <t>Aisha Kashif</t>
  </si>
  <si>
    <t>Cash Sale 10.07.20</t>
  </si>
  <si>
    <t>Cash Sale 11.07.20</t>
  </si>
  <si>
    <t>Cash Sale 13.07.20</t>
  </si>
  <si>
    <t>Cash Sale 14.07.20</t>
  </si>
  <si>
    <t>Cash Sale 16.07.20</t>
  </si>
  <si>
    <t>Cash Sale 17.07.20</t>
  </si>
  <si>
    <t>Guest</t>
  </si>
  <si>
    <t>Cash Sale 18.07.20</t>
  </si>
  <si>
    <t>Gas Bill (March &amp; April)</t>
  </si>
  <si>
    <t>Cash Sale 24.07.20</t>
  </si>
  <si>
    <t>Cash Sale 28.07.20</t>
  </si>
  <si>
    <t>XCAL Social Media Management Charges - Paid to Cybeinc against INV-CYB#0087</t>
  </si>
  <si>
    <t>20080 - July Salary - Muhammad Qasim (XCAL)</t>
  </si>
  <si>
    <t>20087 - July Salary - Kevin Joseph (XCAL - Chef)</t>
  </si>
  <si>
    <t>20088 - July Salary - Muslim (XCAL - Assistant Chef)</t>
  </si>
  <si>
    <t>20090 - July Salary - Kevin Bobby Samuel (XCAL - Helper)</t>
  </si>
  <si>
    <t>Cash Sale 08.08.20</t>
  </si>
  <si>
    <t>Kitchen Petty Cash Refund</t>
  </si>
  <si>
    <t>Cash Sale 18.08.20</t>
  </si>
  <si>
    <t>Cash Sale 24.08.20</t>
  </si>
  <si>
    <t>XCAL Social Media Management Charges - Paid to Cybeinc against INV-CYB#0091</t>
  </si>
  <si>
    <t>20080 - August Salary - Muhammad Qasim (XCAL)</t>
  </si>
  <si>
    <t>20087 - August Salary - Kevin Joseph (XCAL - Chef)</t>
  </si>
  <si>
    <t>20088 - August Salary - Muslim (XCAL - Assistant Chef)</t>
  </si>
  <si>
    <t>20090 - August Salary - Kevin Bobby Samuel (XCAL - Helper)</t>
  </si>
  <si>
    <t>Paid from VX</t>
  </si>
  <si>
    <t>Total Expenses</t>
  </si>
  <si>
    <t>Paid from Xcal</t>
  </si>
  <si>
    <t>Wasif Balance</t>
  </si>
  <si>
    <t>Paid up Capital - Wasif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</si>
</sst>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(* #,##0.00_);_(* \(#,##0.00\);_(* &quot;-&quot;??_);_(@_)"/>
    <numFmt numFmtId="165" formatCode="[$-14809]d\ mmm\ yyyy;@"/>
    <numFmt numFmtId="166" formatCode="000"/>
    <numFmt numFmtId="167" formatCode="[$-409]mmm\-yy;@"/>
    <numFmt numFmtId="168" formatCode="\ d\-mmm\-yyyy"/>
    <numFmt numFmtId="169" formatCode="[$-F800]dddd\,\ mmmm\ dd\,\ yyyy"/>
    <numFmt numFmtId="170" formatCode="h:mm;@"/>
    <numFmt numFmtId="171" formatCode="0000"/>
  </numFmts>
  <fonts count="2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Yu Gothic"/>
      <family val="2"/>
    </font>
    <font>
      <b/>
      <sz val="10"/>
      <name val="Yu Gothic"/>
      <family val="2"/>
    </font>
    <font>
      <sz val="12"/>
      <color rgb="FFFF0000"/>
      <name val="Yu Gothic"/>
      <family val="2"/>
    </font>
    <font>
      <sz val="12"/>
      <color theme="1"/>
      <name val="Yu Gothic"/>
      <family val="2"/>
    </font>
    <font>
      <b/>
      <sz val="12"/>
      <color theme="1"/>
      <name val="Yu Gothic"/>
      <family val="2"/>
    </font>
    <font>
      <b/>
      <sz val="18"/>
      <color theme="1"/>
      <name val="Yu Gothic"/>
      <family val="2"/>
    </font>
    <font>
      <b/>
      <sz val="8"/>
      <color rgb="FF000000"/>
      <name val="Yu Gothic"/>
      <family val="2"/>
    </font>
    <font>
      <b/>
      <sz val="16"/>
      <color theme="1"/>
      <name val="Yu Gothic"/>
      <family val="2"/>
    </font>
    <font>
      <b/>
      <sz val="16"/>
      <color indexed="8"/>
      <name val="Yu Gothic"/>
      <family val="2"/>
    </font>
    <font>
      <sz val="16"/>
      <color theme="1"/>
      <name val="Yu Gothic"/>
      <family val="2"/>
    </font>
    <font>
      <sz val="12"/>
      <color indexed="8"/>
      <name val="Yu Gothic"/>
      <family val="2"/>
    </font>
    <font>
      <sz val="12"/>
      <name val="Yu Gothic"/>
      <family val="2"/>
    </font>
    <font>
      <b/>
      <sz val="12"/>
      <name val="Yu Gothic"/>
      <family val="2"/>
    </font>
    <font>
      <sz val="10"/>
      <color theme="1"/>
      <name val="Yu Gothic"/>
      <family val="2"/>
    </font>
    <font>
      <sz val="8"/>
      <color rgb="FF333333"/>
      <name val="Arial"/>
      <family val="2"/>
    </font>
    <font>
      <b/>
      <sz val="10"/>
      <color theme="1"/>
      <name val="Yu Gothic"/>
      <family val="2"/>
    </font>
    <font>
      <sz val="11"/>
      <color theme="1"/>
      <name val="Calibri"/>
      <family val="2"/>
      <scheme val="minor"/>
    </font>
    <font>
      <sz val="10"/>
      <color indexed="8"/>
      <name val="Yu Gothic"/>
      <family val="2"/>
    </font>
    <font>
      <sz val="10"/>
      <color theme="1"/>
      <name val="Calibri"/>
      <family val="2"/>
      <scheme val="minor"/>
    </font>
    <font>
      <b/>
      <sz val="14"/>
      <color theme="1"/>
      <name val="Yu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164" fontId="18" fillId="0" borderId="0" applyFont="0" applyFill="0" applyBorder="0" applyAlignment="0" applyProtection="0"/>
  </cellStyleXfs>
  <cellXfs count="116">
    <xf numFmtId="0" fontId="0" fillId="0" borderId="0" xfId="0"/>
    <xf numFmtId="3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4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4" fontId="7" fillId="0" borderId="1" xfId="0" applyNumberFormat="1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left" vertical="center"/>
    </xf>
    <xf numFmtId="168" fontId="12" fillId="0" borderId="4" xfId="0" applyNumberFormat="1" applyFont="1" applyFill="1" applyBorder="1" applyAlignment="1">
      <alignment horizontal="left" vertical="center"/>
    </xf>
    <xf numFmtId="3" fontId="5" fillId="0" borderId="4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/>
    </xf>
    <xf numFmtId="168" fontId="12" fillId="0" borderId="1" xfId="0" applyNumberFormat="1" applyFont="1" applyFill="1" applyBorder="1" applyAlignment="1">
      <alignment horizontal="left" vertical="center"/>
    </xf>
    <xf numFmtId="168" fontId="12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3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3" fontId="6" fillId="0" borderId="3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vertical="center"/>
    </xf>
    <xf numFmtId="3" fontId="13" fillId="2" borderId="1" xfId="0" applyNumberFormat="1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0" borderId="0" xfId="0" applyFont="1" applyAlignment="1">
      <alignment vertical="center"/>
    </xf>
    <xf numFmtId="169" fontId="13" fillId="0" borderId="0" xfId="0" applyNumberFormat="1" applyFont="1" applyAlignment="1">
      <alignment vertical="center"/>
    </xf>
    <xf numFmtId="3" fontId="16" fillId="0" borderId="0" xfId="0" applyNumberFormat="1" applyFont="1"/>
    <xf numFmtId="170" fontId="5" fillId="0" borderId="0" xfId="0" applyNumberFormat="1" applyFont="1" applyAlignment="1">
      <alignment horizontal="center" vertical="center"/>
    </xf>
    <xf numFmtId="4" fontId="5" fillId="0" borderId="1" xfId="0" applyNumberFormat="1" applyFont="1" applyBorder="1" applyAlignment="1">
      <alignment horizontal="left" vertical="center"/>
    </xf>
    <xf numFmtId="4" fontId="7" fillId="0" borderId="1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5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vertical="center"/>
    </xf>
    <xf numFmtId="169" fontId="15" fillId="2" borderId="1" xfId="0" applyNumberFormat="1" applyFont="1" applyFill="1" applyBorder="1" applyAlignment="1">
      <alignment vertical="center"/>
    </xf>
    <xf numFmtId="169" fontId="15" fillId="2" borderId="1" xfId="0" applyNumberFormat="1" applyFont="1" applyFill="1" applyBorder="1" applyAlignment="1">
      <alignment horizontal="left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vertical="center"/>
    </xf>
    <xf numFmtId="3" fontId="2" fillId="0" borderId="1" xfId="0" applyNumberFormat="1" applyFont="1" applyFill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left" vertical="center"/>
    </xf>
    <xf numFmtId="167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168" fontId="19" fillId="0" borderId="1" xfId="0" applyNumberFormat="1" applyFont="1" applyFill="1" applyBorder="1" applyAlignment="1">
      <alignment horizontal="left" vertical="center"/>
    </xf>
    <xf numFmtId="167" fontId="19" fillId="0" borderId="1" xfId="0" applyNumberFormat="1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166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 shrinkToFit="1"/>
    </xf>
    <xf numFmtId="3" fontId="2" fillId="2" borderId="0" xfId="0" applyNumberFormat="1" applyFont="1" applyFill="1" applyAlignment="1">
      <alignment horizontal="center" vertical="center"/>
    </xf>
    <xf numFmtId="3" fontId="2" fillId="2" borderId="1" xfId="0" applyNumberFormat="1" applyFont="1" applyFill="1" applyBorder="1" applyAlignment="1">
      <alignment horizontal="left" vertical="center" shrinkToFit="1"/>
    </xf>
    <xf numFmtId="166" fontId="3" fillId="2" borderId="2" xfId="0" applyNumberFormat="1" applyFont="1" applyFill="1" applyBorder="1" applyAlignment="1">
      <alignment horizontal="center" vertical="center" wrapText="1"/>
    </xf>
    <xf numFmtId="167" fontId="3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vertical="center"/>
    </xf>
    <xf numFmtId="168" fontId="19" fillId="0" borderId="1" xfId="0" applyNumberFormat="1" applyFont="1" applyBorder="1" applyAlignment="1">
      <alignment horizontal="left" vertical="center"/>
    </xf>
    <xf numFmtId="0" fontId="20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9" fontId="15" fillId="0" borderId="1" xfId="0" applyNumberFormat="1" applyFont="1" applyBorder="1" applyAlignment="1">
      <alignment horizontal="left" vertical="center"/>
    </xf>
    <xf numFmtId="4" fontId="15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1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Fill="1" applyBorder="1" applyAlignment="1">
      <alignment horizontal="center" vertical="center" shrinkToFit="1"/>
    </xf>
    <xf numFmtId="3" fontId="2" fillId="0" borderId="1" xfId="0" applyNumberFormat="1" applyFont="1" applyFill="1" applyBorder="1" applyAlignment="1">
      <alignment horizontal="left" vertical="center" shrinkToFit="1"/>
    </xf>
    <xf numFmtId="4" fontId="15" fillId="0" borderId="1" xfId="0" applyNumberFormat="1" applyFont="1" applyFill="1" applyBorder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3" fontId="5" fillId="0" borderId="0" xfId="0" applyNumberFormat="1" applyFont="1" applyAlignment="1">
      <alignment vertical="center"/>
    </xf>
    <xf numFmtId="168" fontId="19" fillId="4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 applyAlignment="1">
      <alignment vertical="center" wrapText="1"/>
    </xf>
    <xf numFmtId="3" fontId="15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167" fontId="19" fillId="4" borderId="1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7" fillId="0" borderId="0" xfId="0" applyNumberFormat="1" applyFont="1" applyAlignment="1">
      <alignment vertical="center"/>
    </xf>
    <xf numFmtId="3" fontId="15" fillId="0" borderId="1" xfId="0" applyNumberFormat="1" applyFont="1" applyFill="1" applyBorder="1" applyAlignment="1">
      <alignment horizontal="center" vertical="center"/>
    </xf>
    <xf numFmtId="168" fontId="19" fillId="0" borderId="1" xfId="0" applyNumberFormat="1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</cellXfs>
  <cellStyles count="3">
    <cellStyle name="Comma 2" xfId="2"/>
    <cellStyle name="Neutral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2"/>
  <sheetViews>
    <sheetView workbookViewId="0">
      <pane xSplit="11" ySplit="2" topLeftCell="L48" activePane="bottomRight" state="frozen"/>
      <selection pane="topRight" activeCell="O1" sqref="O1"/>
      <selection pane="bottomLeft" activeCell="A5" sqref="A5"/>
      <selection pane="bottomRight" activeCell="A62" sqref="A62"/>
    </sheetView>
  </sheetViews>
  <sheetFormatPr defaultColWidth="9.140625" defaultRowHeight="16.5" x14ac:dyDescent="0.25"/>
  <cols>
    <col min="1" max="1" width="6.42578125" style="60" bestFit="1" customWidth="1"/>
    <col min="2" max="2" width="24.28515625" style="61" bestFit="1" customWidth="1"/>
    <col min="3" max="3" width="14.5703125" style="61" customWidth="1"/>
    <col min="4" max="4" width="12.28515625" style="62" bestFit="1" customWidth="1"/>
    <col min="5" max="5" width="12.5703125" style="62" bestFit="1" customWidth="1"/>
    <col min="6" max="6" width="8.85546875" style="62" customWidth="1"/>
    <col min="7" max="7" width="8.85546875" style="62" hidden="1" customWidth="1"/>
    <col min="8" max="8" width="35.42578125" style="62" bestFit="1" customWidth="1"/>
    <col min="9" max="9" width="11" style="63" bestFit="1" customWidth="1"/>
    <col min="10" max="10" width="12.140625" style="64" bestFit="1" customWidth="1"/>
    <col min="11" max="11" width="9.5703125" style="64" bestFit="1" customWidth="1"/>
    <col min="12" max="12" width="9.140625" style="61"/>
    <col min="13" max="16" width="9.140625" style="61" customWidth="1"/>
    <col min="17" max="16384" width="9.140625" style="61"/>
  </cols>
  <sheetData>
    <row r="1" spans="1:17" x14ac:dyDescent="0.25">
      <c r="I1" s="64">
        <f>SUM(I3:I103213)</f>
        <v>925250</v>
      </c>
      <c r="J1" s="64">
        <f>SUM(J3:J103213)</f>
        <v>925250</v>
      </c>
      <c r="K1" s="64">
        <f>SUM(K3:K103213)</f>
        <v>0</v>
      </c>
      <c r="M1" s="68"/>
      <c r="N1" s="68"/>
      <c r="O1" s="68"/>
      <c r="P1" s="68"/>
      <c r="Q1" s="68"/>
    </row>
    <row r="2" spans="1:17" s="68" customFormat="1" ht="33" x14ac:dyDescent="0.25">
      <c r="A2" s="66" t="s">
        <v>0</v>
      </c>
      <c r="B2" s="66" t="s">
        <v>1</v>
      </c>
      <c r="C2" s="66" t="s">
        <v>203</v>
      </c>
      <c r="D2" s="66" t="s">
        <v>10</v>
      </c>
      <c r="E2" s="66" t="s">
        <v>11</v>
      </c>
      <c r="F2" s="66" t="s">
        <v>232</v>
      </c>
      <c r="G2" s="66" t="s">
        <v>63</v>
      </c>
      <c r="H2" s="66" t="s">
        <v>2</v>
      </c>
      <c r="I2" s="66" t="s">
        <v>6</v>
      </c>
      <c r="J2" s="66" t="s">
        <v>7</v>
      </c>
      <c r="K2" s="67" t="s">
        <v>4</v>
      </c>
    </row>
    <row r="3" spans="1:17" x14ac:dyDescent="0.25">
      <c r="A3" s="87">
        <v>1</v>
      </c>
      <c r="B3" s="86" t="s">
        <v>61</v>
      </c>
      <c r="C3" s="88">
        <v>43902</v>
      </c>
      <c r="D3" s="88">
        <v>43899</v>
      </c>
      <c r="E3" s="88">
        <f t="shared" ref="E3:E34" si="0">D3+G3-1</f>
        <v>43912</v>
      </c>
      <c r="F3" s="55">
        <v>43891</v>
      </c>
      <c r="G3" s="89">
        <f>INDEX('XCAL Packages'!B:B,MATCH(H3,'XCAL Packages'!A:A,FALSE),1)</f>
        <v>14</v>
      </c>
      <c r="H3" s="65" t="s">
        <v>70</v>
      </c>
      <c r="I3" s="89">
        <v>28000</v>
      </c>
      <c r="J3" s="89">
        <v>28000</v>
      </c>
      <c r="K3" s="89">
        <f t="shared" ref="K3:K34" si="1">I3-J3</f>
        <v>0</v>
      </c>
    </row>
    <row r="4" spans="1:17" x14ac:dyDescent="0.25">
      <c r="A4" s="87">
        <v>3</v>
      </c>
      <c r="B4" s="86" t="s">
        <v>64</v>
      </c>
      <c r="C4" s="88">
        <v>43904</v>
      </c>
      <c r="D4" s="88">
        <v>43899</v>
      </c>
      <c r="E4" s="88">
        <f t="shared" si="0"/>
        <v>43912</v>
      </c>
      <c r="F4" s="55">
        <v>43891</v>
      </c>
      <c r="G4" s="89">
        <f>INDEX('XCAL Packages'!B:B,MATCH(H4,'XCAL Packages'!A:A,FALSE),1)</f>
        <v>14</v>
      </c>
      <c r="H4" s="65" t="s">
        <v>70</v>
      </c>
      <c r="I4" s="89">
        <v>28000</v>
      </c>
      <c r="J4" s="89">
        <v>28000</v>
      </c>
      <c r="K4" s="89">
        <f t="shared" si="1"/>
        <v>0</v>
      </c>
    </row>
    <row r="5" spans="1:17" x14ac:dyDescent="0.25">
      <c r="A5" s="87">
        <v>2</v>
      </c>
      <c r="B5" s="86" t="s">
        <v>62</v>
      </c>
      <c r="C5" s="88">
        <v>43904</v>
      </c>
      <c r="D5" s="88">
        <v>43900</v>
      </c>
      <c r="E5" s="88">
        <f t="shared" si="0"/>
        <v>43913</v>
      </c>
      <c r="F5" s="55">
        <v>43891</v>
      </c>
      <c r="G5" s="89">
        <f>INDEX('XCAL Packages'!B:B,MATCH(H5,'XCAL Packages'!A:A,FALSE),1)</f>
        <v>14</v>
      </c>
      <c r="H5" s="65" t="s">
        <v>70</v>
      </c>
      <c r="I5" s="89">
        <v>28000</v>
      </c>
      <c r="J5" s="89">
        <v>28000</v>
      </c>
      <c r="K5" s="89">
        <f t="shared" si="1"/>
        <v>0</v>
      </c>
    </row>
    <row r="6" spans="1:17" x14ac:dyDescent="0.25">
      <c r="A6" s="87">
        <v>4</v>
      </c>
      <c r="B6" s="86" t="s">
        <v>65</v>
      </c>
      <c r="C6" s="88">
        <v>43903</v>
      </c>
      <c r="D6" s="88">
        <v>43901</v>
      </c>
      <c r="E6" s="88">
        <f t="shared" si="0"/>
        <v>43907</v>
      </c>
      <c r="F6" s="55">
        <v>43891</v>
      </c>
      <c r="G6" s="89">
        <f>INDEX('XCAL Packages'!B:B,MATCH(H6,'XCAL Packages'!A:A,FALSE),1)</f>
        <v>7</v>
      </c>
      <c r="H6" s="65" t="s">
        <v>69</v>
      </c>
      <c r="I6" s="89">
        <v>14000</v>
      </c>
      <c r="J6" s="89">
        <v>14000</v>
      </c>
      <c r="K6" s="89">
        <f t="shared" si="1"/>
        <v>0</v>
      </c>
    </row>
    <row r="7" spans="1:17" x14ac:dyDescent="0.25">
      <c r="A7" s="87">
        <v>1</v>
      </c>
      <c r="B7" s="86" t="s">
        <v>61</v>
      </c>
      <c r="C7" s="88">
        <v>43983</v>
      </c>
      <c r="D7" s="88">
        <v>43984</v>
      </c>
      <c r="E7" s="88">
        <f t="shared" si="0"/>
        <v>43997</v>
      </c>
      <c r="F7" s="55">
        <v>43983</v>
      </c>
      <c r="G7" s="89">
        <f>INDEX('XCAL Packages'!B:B,MATCH(H7,'XCAL Packages'!A:A,FALSE),1)</f>
        <v>14</v>
      </c>
      <c r="H7" s="65" t="s">
        <v>70</v>
      </c>
      <c r="I7" s="89">
        <v>28000</v>
      </c>
      <c r="J7" s="89">
        <v>28000</v>
      </c>
      <c r="K7" s="89">
        <f t="shared" si="1"/>
        <v>0</v>
      </c>
    </row>
    <row r="8" spans="1:17" x14ac:dyDescent="0.25">
      <c r="A8" s="87">
        <v>2</v>
      </c>
      <c r="B8" s="86" t="s">
        <v>62</v>
      </c>
      <c r="C8" s="88">
        <v>43987</v>
      </c>
      <c r="D8" s="88">
        <v>43984</v>
      </c>
      <c r="E8" s="88">
        <f t="shared" si="0"/>
        <v>44013</v>
      </c>
      <c r="F8" s="55">
        <v>43983</v>
      </c>
      <c r="G8" s="89">
        <f>INDEX('XCAL Packages'!B:B,MATCH(H8,'XCAL Packages'!A:A,FALSE),1)</f>
        <v>30</v>
      </c>
      <c r="H8" s="65" t="s">
        <v>72</v>
      </c>
      <c r="I8" s="89">
        <v>56000</v>
      </c>
      <c r="J8" s="89">
        <v>56000</v>
      </c>
      <c r="K8" s="89">
        <f t="shared" si="1"/>
        <v>0</v>
      </c>
    </row>
    <row r="9" spans="1:17" x14ac:dyDescent="0.25">
      <c r="A9" s="87">
        <v>3</v>
      </c>
      <c r="B9" s="86" t="s">
        <v>79</v>
      </c>
      <c r="C9" s="88">
        <v>43987</v>
      </c>
      <c r="D9" s="88">
        <v>43984</v>
      </c>
      <c r="E9" s="88">
        <f t="shared" si="0"/>
        <v>44013</v>
      </c>
      <c r="F9" s="55">
        <v>43983</v>
      </c>
      <c r="G9" s="89">
        <f>INDEX('XCAL Packages'!B:B,MATCH(H9,'XCAL Packages'!A:A,FALSE),1)</f>
        <v>30</v>
      </c>
      <c r="H9" s="65" t="s">
        <v>72</v>
      </c>
      <c r="I9" s="89">
        <v>56000</v>
      </c>
      <c r="J9" s="89">
        <v>56000</v>
      </c>
      <c r="K9" s="89">
        <f t="shared" si="1"/>
        <v>0</v>
      </c>
    </row>
    <row r="10" spans="1:17" x14ac:dyDescent="0.25">
      <c r="A10" s="87">
        <v>6</v>
      </c>
      <c r="B10" s="86" t="s">
        <v>197</v>
      </c>
      <c r="C10" s="88">
        <v>43986</v>
      </c>
      <c r="D10" s="88">
        <v>43984</v>
      </c>
      <c r="E10" s="88">
        <f t="shared" si="0"/>
        <v>43990</v>
      </c>
      <c r="F10" s="55">
        <v>43983</v>
      </c>
      <c r="G10" s="89">
        <f>INDEX('XCAL Packages'!B:B,MATCH(H10,'XCAL Packages'!A:A,FALSE),1)</f>
        <v>7</v>
      </c>
      <c r="H10" s="65" t="s">
        <v>73</v>
      </c>
      <c r="I10" s="89">
        <v>8000</v>
      </c>
      <c r="J10" s="89">
        <v>8000</v>
      </c>
      <c r="K10" s="89">
        <f t="shared" si="1"/>
        <v>0</v>
      </c>
    </row>
    <row r="11" spans="1:17" x14ac:dyDescent="0.25">
      <c r="A11" s="87">
        <v>10</v>
      </c>
      <c r="B11" s="86" t="s">
        <v>77</v>
      </c>
      <c r="C11" s="88">
        <v>43986</v>
      </c>
      <c r="D11" s="88">
        <v>43984</v>
      </c>
      <c r="E11" s="88">
        <f t="shared" si="0"/>
        <v>43990</v>
      </c>
      <c r="F11" s="55">
        <v>43983</v>
      </c>
      <c r="G11" s="89">
        <f>INDEX('XCAL Packages'!B:B,MATCH(H11,'XCAL Packages'!A:A,FALSE),1)</f>
        <v>7</v>
      </c>
      <c r="H11" s="65" t="s">
        <v>69</v>
      </c>
      <c r="I11" s="89">
        <v>10500</v>
      </c>
      <c r="J11" s="89">
        <v>10500</v>
      </c>
      <c r="K11" s="89">
        <f t="shared" si="1"/>
        <v>0</v>
      </c>
    </row>
    <row r="12" spans="1:17" x14ac:dyDescent="0.25">
      <c r="A12" s="87">
        <v>11</v>
      </c>
      <c r="B12" s="86" t="s">
        <v>78</v>
      </c>
      <c r="C12" s="88">
        <v>43987</v>
      </c>
      <c r="D12" s="88">
        <v>43984</v>
      </c>
      <c r="E12" s="88">
        <f t="shared" si="0"/>
        <v>43997</v>
      </c>
      <c r="F12" s="55">
        <v>43983</v>
      </c>
      <c r="G12" s="89">
        <f>INDEX('XCAL Packages'!B:B,MATCH(H12,'XCAL Packages'!A:A,FALSE),1)</f>
        <v>14</v>
      </c>
      <c r="H12" s="65" t="s">
        <v>74</v>
      </c>
      <c r="I12" s="89">
        <v>20000</v>
      </c>
      <c r="J12" s="89">
        <v>20000</v>
      </c>
      <c r="K12" s="89">
        <f t="shared" si="1"/>
        <v>0</v>
      </c>
    </row>
    <row r="13" spans="1:17" x14ac:dyDescent="0.25">
      <c r="A13" s="87">
        <v>12</v>
      </c>
      <c r="B13" s="86" t="s">
        <v>80</v>
      </c>
      <c r="C13" s="88">
        <v>43987</v>
      </c>
      <c r="D13" s="88">
        <v>43984</v>
      </c>
      <c r="E13" s="88">
        <f t="shared" si="0"/>
        <v>44013</v>
      </c>
      <c r="F13" s="55">
        <v>43983</v>
      </c>
      <c r="G13" s="89">
        <f>INDEX('XCAL Packages'!B:B,MATCH(H13,'XCAL Packages'!A:A,FALSE),1)</f>
        <v>30</v>
      </c>
      <c r="H13" s="65" t="s">
        <v>72</v>
      </c>
      <c r="I13" s="89">
        <v>56000</v>
      </c>
      <c r="J13" s="89">
        <v>56000</v>
      </c>
      <c r="K13" s="89">
        <f t="shared" si="1"/>
        <v>0</v>
      </c>
    </row>
    <row r="14" spans="1:17" x14ac:dyDescent="0.25">
      <c r="A14" s="87">
        <v>13</v>
      </c>
      <c r="B14" s="86" t="s">
        <v>81</v>
      </c>
      <c r="C14" s="88">
        <v>43986</v>
      </c>
      <c r="D14" s="88">
        <v>43984</v>
      </c>
      <c r="E14" s="88">
        <f t="shared" si="0"/>
        <v>43990</v>
      </c>
      <c r="F14" s="55">
        <v>43983</v>
      </c>
      <c r="G14" s="89">
        <f>INDEX('XCAL Packages'!B:B,MATCH(H14,'XCAL Packages'!A:A,FALSE),1)</f>
        <v>7</v>
      </c>
      <c r="H14" s="65" t="s">
        <v>73</v>
      </c>
      <c r="I14" s="89">
        <v>7500</v>
      </c>
      <c r="J14" s="89">
        <v>7500</v>
      </c>
      <c r="K14" s="89">
        <f t="shared" si="1"/>
        <v>0</v>
      </c>
    </row>
    <row r="15" spans="1:17" x14ac:dyDescent="0.25">
      <c r="A15" s="87">
        <v>14</v>
      </c>
      <c r="B15" s="86" t="s">
        <v>198</v>
      </c>
      <c r="C15" s="88">
        <v>43987</v>
      </c>
      <c r="D15" s="88">
        <v>43984</v>
      </c>
      <c r="E15" s="88">
        <f t="shared" si="0"/>
        <v>43997</v>
      </c>
      <c r="F15" s="55">
        <v>43983</v>
      </c>
      <c r="G15" s="89">
        <f>INDEX('XCAL Packages'!B:B,MATCH(H15,'XCAL Packages'!A:A,FALSE),1)</f>
        <v>14</v>
      </c>
      <c r="H15" s="65" t="s">
        <v>74</v>
      </c>
      <c r="I15" s="89">
        <v>20000</v>
      </c>
      <c r="J15" s="89">
        <v>20000</v>
      </c>
      <c r="K15" s="89">
        <f t="shared" si="1"/>
        <v>0</v>
      </c>
    </row>
    <row r="16" spans="1:17" x14ac:dyDescent="0.25">
      <c r="A16" s="87">
        <v>6</v>
      </c>
      <c r="B16" s="86" t="s">
        <v>197</v>
      </c>
      <c r="C16" s="88">
        <v>43993</v>
      </c>
      <c r="D16" s="88">
        <v>43991</v>
      </c>
      <c r="E16" s="88">
        <f t="shared" si="0"/>
        <v>43997</v>
      </c>
      <c r="F16" s="55">
        <v>43983</v>
      </c>
      <c r="G16" s="89">
        <f>INDEX('XCAL Packages'!B:B,MATCH(H16,'XCAL Packages'!A:A,FALSE),1)</f>
        <v>7</v>
      </c>
      <c r="H16" s="65" t="s">
        <v>73</v>
      </c>
      <c r="I16" s="89">
        <v>8000</v>
      </c>
      <c r="J16" s="89">
        <v>8000</v>
      </c>
      <c r="K16" s="89">
        <f t="shared" si="1"/>
        <v>0</v>
      </c>
    </row>
    <row r="17" spans="1:11" x14ac:dyDescent="0.25">
      <c r="A17" s="87">
        <v>10</v>
      </c>
      <c r="B17" s="86" t="s">
        <v>77</v>
      </c>
      <c r="C17" s="88">
        <v>43993</v>
      </c>
      <c r="D17" s="88">
        <v>43991</v>
      </c>
      <c r="E17" s="88">
        <f t="shared" si="0"/>
        <v>43997</v>
      </c>
      <c r="F17" s="55">
        <v>43983</v>
      </c>
      <c r="G17" s="89">
        <f>INDEX('XCAL Packages'!B:B,MATCH(H17,'XCAL Packages'!A:A,FALSE),1)</f>
        <v>7</v>
      </c>
      <c r="H17" s="65" t="s">
        <v>69</v>
      </c>
      <c r="I17" s="89">
        <v>10500</v>
      </c>
      <c r="J17" s="89">
        <v>10500</v>
      </c>
      <c r="K17" s="89">
        <f t="shared" si="1"/>
        <v>0</v>
      </c>
    </row>
    <row r="18" spans="1:11" x14ac:dyDescent="0.25">
      <c r="A18" s="87">
        <v>13</v>
      </c>
      <c r="B18" s="86" t="s">
        <v>81</v>
      </c>
      <c r="C18" s="88">
        <v>43993</v>
      </c>
      <c r="D18" s="88">
        <v>43991</v>
      </c>
      <c r="E18" s="88">
        <f t="shared" si="0"/>
        <v>43997</v>
      </c>
      <c r="F18" s="55">
        <v>43983</v>
      </c>
      <c r="G18" s="89">
        <f>INDEX('XCAL Packages'!B:B,MATCH(H18,'XCAL Packages'!A:A,FALSE),1)</f>
        <v>7</v>
      </c>
      <c r="H18" s="65" t="s">
        <v>73</v>
      </c>
      <c r="I18" s="89">
        <v>7500</v>
      </c>
      <c r="J18" s="89">
        <v>7500</v>
      </c>
      <c r="K18" s="89">
        <f t="shared" si="1"/>
        <v>0</v>
      </c>
    </row>
    <row r="19" spans="1:11" x14ac:dyDescent="0.25">
      <c r="A19" s="87">
        <v>15</v>
      </c>
      <c r="B19" s="86" t="s">
        <v>213</v>
      </c>
      <c r="C19" s="88">
        <v>44000</v>
      </c>
      <c r="D19" s="88">
        <v>43996</v>
      </c>
      <c r="E19" s="88">
        <f t="shared" si="0"/>
        <v>44009</v>
      </c>
      <c r="F19" s="55">
        <v>43983</v>
      </c>
      <c r="G19" s="89">
        <f>INDEX('XCAL Packages'!B:B,MATCH(H19,'XCAL Packages'!A:A,FALSE),1)</f>
        <v>14</v>
      </c>
      <c r="H19" s="65" t="s">
        <v>74</v>
      </c>
      <c r="I19" s="89">
        <v>20000</v>
      </c>
      <c r="J19" s="89">
        <v>20000</v>
      </c>
      <c r="K19" s="89">
        <f t="shared" si="1"/>
        <v>0</v>
      </c>
    </row>
    <row r="20" spans="1:11" x14ac:dyDescent="0.25">
      <c r="A20" s="87">
        <v>1</v>
      </c>
      <c r="B20" s="86" t="s">
        <v>61</v>
      </c>
      <c r="C20" s="88">
        <v>44000</v>
      </c>
      <c r="D20" s="88">
        <v>43998</v>
      </c>
      <c r="E20" s="88">
        <f t="shared" si="0"/>
        <v>44011</v>
      </c>
      <c r="F20" s="55">
        <v>43983</v>
      </c>
      <c r="G20" s="89">
        <f>INDEX('XCAL Packages'!B:B,MATCH(H20,'XCAL Packages'!A:A,FALSE),1)</f>
        <v>14</v>
      </c>
      <c r="H20" s="65" t="s">
        <v>74</v>
      </c>
      <c r="I20" s="89">
        <v>20000</v>
      </c>
      <c r="J20" s="89">
        <v>20000</v>
      </c>
      <c r="K20" s="89">
        <f t="shared" si="1"/>
        <v>0</v>
      </c>
    </row>
    <row r="21" spans="1:11" x14ac:dyDescent="0.25">
      <c r="A21" s="87">
        <v>10</v>
      </c>
      <c r="B21" s="86" t="s">
        <v>77</v>
      </c>
      <c r="C21" s="88">
        <v>43999</v>
      </c>
      <c r="D21" s="88">
        <v>43998</v>
      </c>
      <c r="E21" s="88">
        <f t="shared" si="0"/>
        <v>44004</v>
      </c>
      <c r="F21" s="55">
        <v>43983</v>
      </c>
      <c r="G21" s="89">
        <f>INDEX('XCAL Packages'!B:B,MATCH(H21,'XCAL Packages'!A:A,FALSE),1)</f>
        <v>7</v>
      </c>
      <c r="H21" s="65" t="s">
        <v>69</v>
      </c>
      <c r="I21" s="89">
        <v>10500</v>
      </c>
      <c r="J21" s="89">
        <v>10500</v>
      </c>
      <c r="K21" s="89">
        <f t="shared" si="1"/>
        <v>0</v>
      </c>
    </row>
    <row r="22" spans="1:11" x14ac:dyDescent="0.25">
      <c r="A22" s="87">
        <v>13</v>
      </c>
      <c r="B22" s="86" t="s">
        <v>81</v>
      </c>
      <c r="C22" s="88">
        <v>43999</v>
      </c>
      <c r="D22" s="88">
        <v>43998</v>
      </c>
      <c r="E22" s="88">
        <f t="shared" si="0"/>
        <v>44004</v>
      </c>
      <c r="F22" s="55">
        <v>43983</v>
      </c>
      <c r="G22" s="89">
        <f>INDEX('XCAL Packages'!B:B,MATCH(H22,'XCAL Packages'!A:A,FALSE),1)</f>
        <v>7</v>
      </c>
      <c r="H22" s="65" t="s">
        <v>73</v>
      </c>
      <c r="I22" s="89">
        <v>7500</v>
      </c>
      <c r="J22" s="89">
        <v>7500</v>
      </c>
      <c r="K22" s="89">
        <f t="shared" si="1"/>
        <v>0</v>
      </c>
    </row>
    <row r="23" spans="1:11" x14ac:dyDescent="0.25">
      <c r="A23" s="87">
        <v>14</v>
      </c>
      <c r="B23" s="86" t="s">
        <v>198</v>
      </c>
      <c r="C23" s="88">
        <v>43987</v>
      </c>
      <c r="D23" s="88">
        <v>43998</v>
      </c>
      <c r="E23" s="88">
        <f t="shared" si="0"/>
        <v>44011</v>
      </c>
      <c r="F23" s="55">
        <v>43983</v>
      </c>
      <c r="G23" s="89">
        <f>INDEX('XCAL Packages'!B:B,MATCH(H23,'XCAL Packages'!A:A,FALSE),1)</f>
        <v>14</v>
      </c>
      <c r="H23" s="65" t="s">
        <v>70</v>
      </c>
      <c r="I23" s="89">
        <v>28000</v>
      </c>
      <c r="J23" s="89">
        <v>28000</v>
      </c>
      <c r="K23" s="89">
        <f t="shared" si="1"/>
        <v>0</v>
      </c>
    </row>
    <row r="24" spans="1:11" x14ac:dyDescent="0.25">
      <c r="A24" s="87">
        <v>19</v>
      </c>
      <c r="B24" s="86" t="s">
        <v>244</v>
      </c>
      <c r="C24" s="88">
        <v>44020</v>
      </c>
      <c r="D24" s="88">
        <v>44002</v>
      </c>
      <c r="E24" s="88">
        <f t="shared" si="0"/>
        <v>44008</v>
      </c>
      <c r="F24" s="55">
        <v>43983</v>
      </c>
      <c r="G24" s="89">
        <f>INDEX('XCAL Packages'!B:B,MATCH(H24,'XCAL Packages'!A:A,FALSE),1)</f>
        <v>7</v>
      </c>
      <c r="H24" s="65" t="s">
        <v>73</v>
      </c>
      <c r="I24" s="89">
        <v>10000</v>
      </c>
      <c r="J24" s="89">
        <v>10000</v>
      </c>
      <c r="K24" s="89">
        <f t="shared" si="1"/>
        <v>0</v>
      </c>
    </row>
    <row r="25" spans="1:11" x14ac:dyDescent="0.25">
      <c r="A25" s="85">
        <v>20</v>
      </c>
      <c r="B25" s="69" t="s">
        <v>261</v>
      </c>
      <c r="C25" s="70">
        <v>44006</v>
      </c>
      <c r="D25" s="70">
        <v>44005</v>
      </c>
      <c r="E25" s="88">
        <f t="shared" si="0"/>
        <v>44011</v>
      </c>
      <c r="F25" s="55">
        <v>43983</v>
      </c>
      <c r="G25" s="89">
        <f>INDEX('XCAL Packages'!B:B,MATCH(H25,'XCAL Packages'!A:A,FALSE),1)</f>
        <v>7</v>
      </c>
      <c r="H25" s="65" t="s">
        <v>260</v>
      </c>
      <c r="I25" s="71">
        <v>8000</v>
      </c>
      <c r="J25" s="89">
        <v>8000</v>
      </c>
      <c r="K25" s="89">
        <f t="shared" si="1"/>
        <v>0</v>
      </c>
    </row>
    <row r="26" spans="1:11" x14ac:dyDescent="0.25">
      <c r="A26" s="85">
        <v>21</v>
      </c>
      <c r="B26" s="69" t="s">
        <v>262</v>
      </c>
      <c r="C26" s="70">
        <v>44006</v>
      </c>
      <c r="D26" s="70">
        <v>44006</v>
      </c>
      <c r="E26" s="88">
        <f t="shared" si="0"/>
        <v>44012</v>
      </c>
      <c r="F26" s="55">
        <v>43983</v>
      </c>
      <c r="G26" s="89">
        <f>INDEX('XCAL Packages'!B:B,MATCH(H26,'XCAL Packages'!A:A,FALSE),1)</f>
        <v>7</v>
      </c>
      <c r="H26" s="65" t="s">
        <v>248</v>
      </c>
      <c r="I26" s="71">
        <v>10000</v>
      </c>
      <c r="J26" s="89">
        <v>10000</v>
      </c>
      <c r="K26" s="89">
        <f t="shared" si="1"/>
        <v>0</v>
      </c>
    </row>
    <row r="27" spans="1:11" x14ac:dyDescent="0.25">
      <c r="A27" s="85">
        <v>22</v>
      </c>
      <c r="B27" s="69" t="s">
        <v>263</v>
      </c>
      <c r="C27" s="70">
        <v>44006</v>
      </c>
      <c r="D27" s="70">
        <v>44006</v>
      </c>
      <c r="E27" s="88">
        <f t="shared" si="0"/>
        <v>44012</v>
      </c>
      <c r="F27" s="55">
        <v>43983</v>
      </c>
      <c r="G27" s="89">
        <f>INDEX('XCAL Packages'!B:B,MATCH(H27,'XCAL Packages'!A:A,FALSE),1)</f>
        <v>7</v>
      </c>
      <c r="H27" s="65" t="s">
        <v>252</v>
      </c>
      <c r="I27" s="71">
        <v>8000</v>
      </c>
      <c r="J27" s="89">
        <v>8000</v>
      </c>
      <c r="K27" s="89">
        <f t="shared" si="1"/>
        <v>0</v>
      </c>
    </row>
    <row r="28" spans="1:11" x14ac:dyDescent="0.25">
      <c r="A28" s="87">
        <v>13</v>
      </c>
      <c r="B28" s="86" t="s">
        <v>81</v>
      </c>
      <c r="C28" s="70">
        <v>44011</v>
      </c>
      <c r="D28" s="70">
        <v>44007</v>
      </c>
      <c r="E28" s="88">
        <f t="shared" si="0"/>
        <v>44013</v>
      </c>
      <c r="F28" s="55">
        <v>43983</v>
      </c>
      <c r="G28" s="89">
        <f>INDEX('XCAL Packages'!B:B,MATCH(H28,'XCAL Packages'!A:A,FALSE),1)</f>
        <v>7</v>
      </c>
      <c r="H28" s="65" t="s">
        <v>260</v>
      </c>
      <c r="I28" s="71">
        <v>6000</v>
      </c>
      <c r="J28" s="89">
        <v>6000</v>
      </c>
      <c r="K28" s="89">
        <f t="shared" si="1"/>
        <v>0</v>
      </c>
    </row>
    <row r="29" spans="1:11" x14ac:dyDescent="0.25">
      <c r="A29" s="87">
        <v>19</v>
      </c>
      <c r="B29" s="86" t="s">
        <v>244</v>
      </c>
      <c r="C29" s="70">
        <v>44020</v>
      </c>
      <c r="D29" s="70">
        <v>44009</v>
      </c>
      <c r="E29" s="88">
        <f t="shared" si="0"/>
        <v>44015</v>
      </c>
      <c r="F29" s="55">
        <v>43983</v>
      </c>
      <c r="G29" s="89">
        <f>INDEX('XCAL Packages'!B:B,MATCH(H29,'XCAL Packages'!A:A,FALSE),1)</f>
        <v>7</v>
      </c>
      <c r="H29" s="65" t="s">
        <v>69</v>
      </c>
      <c r="I29" s="71">
        <v>14000</v>
      </c>
      <c r="J29" s="89">
        <v>14000</v>
      </c>
      <c r="K29" s="89">
        <f t="shared" si="1"/>
        <v>0</v>
      </c>
    </row>
    <row r="30" spans="1:11" x14ac:dyDescent="0.25">
      <c r="A30" s="85">
        <v>23</v>
      </c>
      <c r="B30" s="69" t="s">
        <v>266</v>
      </c>
      <c r="C30" s="70">
        <v>44009</v>
      </c>
      <c r="D30" s="70">
        <v>44009</v>
      </c>
      <c r="E30" s="88">
        <f t="shared" si="0"/>
        <v>44015</v>
      </c>
      <c r="F30" s="55">
        <v>43983</v>
      </c>
      <c r="G30" s="89">
        <f>INDEX('XCAL Packages'!B:B,MATCH(H30,'XCAL Packages'!A:A,FALSE),1)</f>
        <v>7</v>
      </c>
      <c r="H30" s="65" t="s">
        <v>69</v>
      </c>
      <c r="I30" s="71">
        <v>14000</v>
      </c>
      <c r="J30" s="89">
        <v>14000</v>
      </c>
      <c r="K30" s="89">
        <f t="shared" si="1"/>
        <v>0</v>
      </c>
    </row>
    <row r="31" spans="1:11" x14ac:dyDescent="0.25">
      <c r="A31" s="87">
        <v>10</v>
      </c>
      <c r="B31" s="86" t="s">
        <v>77</v>
      </c>
      <c r="C31" s="70">
        <v>44011</v>
      </c>
      <c r="D31" s="70">
        <v>44010</v>
      </c>
      <c r="E31" s="88">
        <f t="shared" si="0"/>
        <v>44016</v>
      </c>
      <c r="F31" s="55">
        <v>43983</v>
      </c>
      <c r="G31" s="89">
        <f>INDEX('XCAL Packages'!B:B,MATCH(H31,'XCAL Packages'!A:A,FALSE),1)</f>
        <v>7</v>
      </c>
      <c r="H31" s="65" t="s">
        <v>218</v>
      </c>
      <c r="I31" s="71">
        <v>3750</v>
      </c>
      <c r="J31" s="89">
        <v>3750</v>
      </c>
      <c r="K31" s="71">
        <f t="shared" si="1"/>
        <v>0</v>
      </c>
    </row>
    <row r="32" spans="1:11" x14ac:dyDescent="0.25">
      <c r="A32" s="87">
        <v>15</v>
      </c>
      <c r="B32" s="86" t="s">
        <v>213</v>
      </c>
      <c r="C32" s="70">
        <v>44013</v>
      </c>
      <c r="D32" s="70">
        <v>44010</v>
      </c>
      <c r="E32" s="88">
        <f t="shared" si="0"/>
        <v>44023</v>
      </c>
      <c r="F32" s="55">
        <v>43983</v>
      </c>
      <c r="G32" s="89">
        <f>INDEX('XCAL Packages'!B:B,MATCH(H32,'XCAL Packages'!A:A,FALSE),1)</f>
        <v>14</v>
      </c>
      <c r="H32" s="65" t="s">
        <v>267</v>
      </c>
      <c r="I32" s="71">
        <v>32000</v>
      </c>
      <c r="J32" s="89">
        <v>32000</v>
      </c>
      <c r="K32" s="89">
        <f t="shared" si="1"/>
        <v>0</v>
      </c>
    </row>
    <row r="33" spans="1:11" x14ac:dyDescent="0.25">
      <c r="A33" s="87">
        <v>16</v>
      </c>
      <c r="B33" s="86" t="s">
        <v>214</v>
      </c>
      <c r="C33" s="88">
        <v>43995</v>
      </c>
      <c r="D33" s="88">
        <v>44011</v>
      </c>
      <c r="E33" s="88">
        <f t="shared" si="0"/>
        <v>44024</v>
      </c>
      <c r="F33" s="55">
        <v>43983</v>
      </c>
      <c r="G33" s="89">
        <f>INDEX('XCAL Packages'!B:B,MATCH(H33,'XCAL Packages'!A:A,FALSE),1)</f>
        <v>14</v>
      </c>
      <c r="H33" s="65" t="s">
        <v>217</v>
      </c>
      <c r="I33" s="89">
        <v>10000</v>
      </c>
      <c r="J33" s="89">
        <v>10000</v>
      </c>
      <c r="K33" s="89">
        <f t="shared" si="1"/>
        <v>0</v>
      </c>
    </row>
    <row r="34" spans="1:11" x14ac:dyDescent="0.25">
      <c r="A34" s="87">
        <v>1</v>
      </c>
      <c r="B34" s="86" t="s">
        <v>61</v>
      </c>
      <c r="C34" s="70">
        <v>44013</v>
      </c>
      <c r="D34" s="88">
        <v>44012</v>
      </c>
      <c r="E34" s="88">
        <f t="shared" si="0"/>
        <v>44025</v>
      </c>
      <c r="F34" s="55">
        <v>43983</v>
      </c>
      <c r="G34" s="89">
        <f>INDEX('XCAL Packages'!B:B,MATCH(H34,'XCAL Packages'!A:A,FALSE),1)</f>
        <v>14</v>
      </c>
      <c r="H34" s="65" t="s">
        <v>74</v>
      </c>
      <c r="I34" s="89">
        <v>20000</v>
      </c>
      <c r="J34" s="89">
        <v>20000</v>
      </c>
      <c r="K34" s="71">
        <f t="shared" si="1"/>
        <v>0</v>
      </c>
    </row>
    <row r="35" spans="1:11" x14ac:dyDescent="0.25">
      <c r="A35" s="87">
        <v>14</v>
      </c>
      <c r="B35" s="86" t="s">
        <v>198</v>
      </c>
      <c r="C35" s="70">
        <v>44011</v>
      </c>
      <c r="D35" s="70">
        <v>44012</v>
      </c>
      <c r="E35" s="88">
        <f t="shared" ref="E35:E62" si="2">D35+G35-1</f>
        <v>44012</v>
      </c>
      <c r="F35" s="55">
        <v>43983</v>
      </c>
      <c r="G35" s="89">
        <f>INDEX('XCAL Packages'!B:B,MATCH(H35,'XCAL Packages'!A:A,FALSE),1)</f>
        <v>1</v>
      </c>
      <c r="H35" s="65" t="s">
        <v>269</v>
      </c>
      <c r="I35" s="71">
        <v>2000</v>
      </c>
      <c r="J35" s="89">
        <v>2000</v>
      </c>
      <c r="K35" s="71">
        <f t="shared" ref="K35:K62" si="3">I35-J35</f>
        <v>0</v>
      </c>
    </row>
    <row r="36" spans="1:11" x14ac:dyDescent="0.25">
      <c r="A36" s="85">
        <v>20</v>
      </c>
      <c r="B36" s="69" t="s">
        <v>261</v>
      </c>
      <c r="C36" s="70">
        <v>44011</v>
      </c>
      <c r="D36" s="70">
        <v>44012</v>
      </c>
      <c r="E36" s="88">
        <f t="shared" si="2"/>
        <v>44018</v>
      </c>
      <c r="F36" s="55">
        <v>43983</v>
      </c>
      <c r="G36" s="89">
        <f>INDEX('XCAL Packages'!B:B,MATCH(H36,'XCAL Packages'!A:A,FALSE),1)</f>
        <v>7</v>
      </c>
      <c r="H36" s="65" t="s">
        <v>260</v>
      </c>
      <c r="I36" s="71">
        <v>8000</v>
      </c>
      <c r="J36" s="89">
        <v>8000</v>
      </c>
      <c r="K36" s="71">
        <f t="shared" si="3"/>
        <v>0</v>
      </c>
    </row>
    <row r="37" spans="1:11" x14ac:dyDescent="0.25">
      <c r="A37" s="87">
        <v>14</v>
      </c>
      <c r="B37" s="86" t="s">
        <v>198</v>
      </c>
      <c r="C37" s="70">
        <v>44011</v>
      </c>
      <c r="D37" s="70">
        <v>44013</v>
      </c>
      <c r="E37" s="88">
        <f t="shared" si="2"/>
        <v>44013</v>
      </c>
      <c r="F37" s="55">
        <v>44013</v>
      </c>
      <c r="G37" s="89">
        <f>INDEX('XCAL Packages'!B:B,MATCH(H37,'XCAL Packages'!A:A,FALSE),1)</f>
        <v>1</v>
      </c>
      <c r="H37" s="65" t="s">
        <v>269</v>
      </c>
      <c r="I37" s="71">
        <v>2000</v>
      </c>
      <c r="J37" s="89">
        <v>2000</v>
      </c>
      <c r="K37" s="71">
        <f t="shared" si="3"/>
        <v>0</v>
      </c>
    </row>
    <row r="38" spans="1:11" x14ac:dyDescent="0.25">
      <c r="A38" s="85">
        <v>21</v>
      </c>
      <c r="B38" s="69" t="s">
        <v>262</v>
      </c>
      <c r="C38" s="70">
        <v>44015</v>
      </c>
      <c r="D38" s="70">
        <v>44013</v>
      </c>
      <c r="E38" s="88">
        <f t="shared" si="2"/>
        <v>44019</v>
      </c>
      <c r="F38" s="55">
        <v>44013</v>
      </c>
      <c r="G38" s="89">
        <f>INDEX('XCAL Packages'!B:B,MATCH(H38,'XCAL Packages'!A:A,FALSE),1)</f>
        <v>7</v>
      </c>
      <c r="H38" s="65" t="s">
        <v>248</v>
      </c>
      <c r="I38" s="71">
        <v>10000</v>
      </c>
      <c r="J38" s="89">
        <v>10000</v>
      </c>
      <c r="K38" s="71">
        <f t="shared" si="3"/>
        <v>0</v>
      </c>
    </row>
    <row r="39" spans="1:11" x14ac:dyDescent="0.25">
      <c r="A39" s="85">
        <v>22</v>
      </c>
      <c r="B39" s="69" t="s">
        <v>263</v>
      </c>
      <c r="C39" s="70">
        <v>44015</v>
      </c>
      <c r="D39" s="70">
        <v>44013</v>
      </c>
      <c r="E39" s="88">
        <f t="shared" si="2"/>
        <v>44019</v>
      </c>
      <c r="F39" s="55">
        <v>44013</v>
      </c>
      <c r="G39" s="89">
        <f>INDEX('XCAL Packages'!B:B,MATCH(H39,'XCAL Packages'!A:A,FALSE),1)</f>
        <v>7</v>
      </c>
      <c r="H39" s="65" t="s">
        <v>252</v>
      </c>
      <c r="I39" s="71">
        <v>8000</v>
      </c>
      <c r="J39" s="89">
        <v>8000</v>
      </c>
      <c r="K39" s="71">
        <f t="shared" si="3"/>
        <v>0</v>
      </c>
    </row>
    <row r="40" spans="1:11" x14ac:dyDescent="0.25">
      <c r="A40" s="87">
        <v>2</v>
      </c>
      <c r="B40" s="86" t="s">
        <v>62</v>
      </c>
      <c r="C40" s="70">
        <v>44026</v>
      </c>
      <c r="D40" s="70">
        <v>44014</v>
      </c>
      <c r="E40" s="88">
        <f t="shared" si="2"/>
        <v>44020</v>
      </c>
      <c r="F40" s="55">
        <v>44013</v>
      </c>
      <c r="G40" s="89">
        <f>INDEX('XCAL Packages'!B:B,MATCH(H40,'XCAL Packages'!A:A,FALSE),1)</f>
        <v>7</v>
      </c>
      <c r="H40" s="65" t="s">
        <v>73</v>
      </c>
      <c r="I40" s="71">
        <v>10000</v>
      </c>
      <c r="J40" s="71">
        <v>10000</v>
      </c>
      <c r="K40" s="71">
        <f t="shared" si="3"/>
        <v>0</v>
      </c>
    </row>
    <row r="41" spans="1:11" x14ac:dyDescent="0.25">
      <c r="A41" s="87">
        <v>3</v>
      </c>
      <c r="B41" s="86" t="s">
        <v>79</v>
      </c>
      <c r="C41" s="70">
        <v>44026</v>
      </c>
      <c r="D41" s="70">
        <v>44014</v>
      </c>
      <c r="E41" s="88">
        <f t="shared" si="2"/>
        <v>44020</v>
      </c>
      <c r="F41" s="55">
        <v>44013</v>
      </c>
      <c r="G41" s="89">
        <f>INDEX('XCAL Packages'!B:B,MATCH(H41,'XCAL Packages'!A:A,FALSE),1)</f>
        <v>7</v>
      </c>
      <c r="H41" s="65" t="s">
        <v>69</v>
      </c>
      <c r="I41" s="71">
        <v>14000</v>
      </c>
      <c r="J41" s="71">
        <v>14000</v>
      </c>
      <c r="K41" s="71">
        <f t="shared" si="3"/>
        <v>0</v>
      </c>
    </row>
    <row r="42" spans="1:11" x14ac:dyDescent="0.25">
      <c r="A42" s="87">
        <v>12</v>
      </c>
      <c r="B42" s="86" t="s">
        <v>80</v>
      </c>
      <c r="C42" s="70">
        <v>44026</v>
      </c>
      <c r="D42" s="70">
        <v>44014</v>
      </c>
      <c r="E42" s="88">
        <f t="shared" si="2"/>
        <v>44027</v>
      </c>
      <c r="F42" s="55">
        <v>44013</v>
      </c>
      <c r="G42" s="89">
        <f>INDEX('XCAL Packages'!B:B,MATCH(H42,'XCAL Packages'!A:A,FALSE),1)</f>
        <v>14</v>
      </c>
      <c r="H42" s="65" t="s">
        <v>70</v>
      </c>
      <c r="I42" s="71">
        <v>28000</v>
      </c>
      <c r="J42" s="71">
        <v>28000</v>
      </c>
      <c r="K42" s="71">
        <f t="shared" si="3"/>
        <v>0</v>
      </c>
    </row>
    <row r="43" spans="1:11" x14ac:dyDescent="0.25">
      <c r="A43" s="87">
        <v>14</v>
      </c>
      <c r="B43" s="86" t="s">
        <v>198</v>
      </c>
      <c r="C43" s="70">
        <v>44026</v>
      </c>
      <c r="D43" s="70">
        <v>44014</v>
      </c>
      <c r="E43" s="88">
        <f t="shared" si="2"/>
        <v>44027</v>
      </c>
      <c r="F43" s="55">
        <v>44013</v>
      </c>
      <c r="G43" s="89">
        <f>INDEX('XCAL Packages'!B:B,MATCH(H43,'XCAL Packages'!A:A,FALSE),1)</f>
        <v>14</v>
      </c>
      <c r="H43" s="65" t="s">
        <v>74</v>
      </c>
      <c r="I43" s="71">
        <v>20000</v>
      </c>
      <c r="J43" s="71">
        <v>20000</v>
      </c>
      <c r="K43" s="71">
        <f t="shared" si="3"/>
        <v>0</v>
      </c>
    </row>
    <row r="44" spans="1:11" x14ac:dyDescent="0.25">
      <c r="A44" s="85">
        <v>25</v>
      </c>
      <c r="B44" s="69" t="s">
        <v>285</v>
      </c>
      <c r="C44" s="70">
        <v>44019</v>
      </c>
      <c r="D44" s="70">
        <v>44018</v>
      </c>
      <c r="E44" s="88">
        <f t="shared" si="2"/>
        <v>44024</v>
      </c>
      <c r="F44" s="55">
        <v>44013</v>
      </c>
      <c r="G44" s="89">
        <f>INDEX('XCAL Packages'!B:B,MATCH(H44,'XCAL Packages'!A:A,FALSE),1)</f>
        <v>7</v>
      </c>
      <c r="H44" s="65" t="s">
        <v>69</v>
      </c>
      <c r="I44" s="71">
        <v>14000</v>
      </c>
      <c r="J44" s="71">
        <v>14000</v>
      </c>
      <c r="K44" s="71">
        <f t="shared" si="3"/>
        <v>0</v>
      </c>
    </row>
    <row r="45" spans="1:11" x14ac:dyDescent="0.25">
      <c r="A45" s="85">
        <v>22</v>
      </c>
      <c r="B45" s="69" t="s">
        <v>263</v>
      </c>
      <c r="C45" s="70">
        <v>44022</v>
      </c>
      <c r="D45" s="70">
        <v>44020</v>
      </c>
      <c r="E45" s="88">
        <f t="shared" si="2"/>
        <v>44026</v>
      </c>
      <c r="F45" s="55">
        <v>44013</v>
      </c>
      <c r="G45" s="89">
        <f>INDEX('XCAL Packages'!B:B,MATCH(H45,'XCAL Packages'!A:A,FALSE),1)</f>
        <v>7</v>
      </c>
      <c r="H45" s="65" t="s">
        <v>252</v>
      </c>
      <c r="I45" s="71">
        <v>8000</v>
      </c>
      <c r="J45" s="89">
        <v>8000</v>
      </c>
      <c r="K45" s="71">
        <f t="shared" si="3"/>
        <v>0</v>
      </c>
    </row>
    <row r="46" spans="1:11" x14ac:dyDescent="0.25">
      <c r="A46" s="87">
        <v>2</v>
      </c>
      <c r="B46" s="86" t="s">
        <v>62</v>
      </c>
      <c r="C46" s="70">
        <v>44026</v>
      </c>
      <c r="D46" s="70">
        <v>44021</v>
      </c>
      <c r="E46" s="88">
        <f t="shared" si="2"/>
        <v>44027</v>
      </c>
      <c r="F46" s="55">
        <v>44013</v>
      </c>
      <c r="G46" s="89">
        <f>INDEX('XCAL Packages'!B:B,MATCH(H46,'XCAL Packages'!A:A,FALSE),1)</f>
        <v>7</v>
      </c>
      <c r="H46" s="65" t="s">
        <v>73</v>
      </c>
      <c r="I46" s="71">
        <v>10000</v>
      </c>
      <c r="J46" s="71">
        <v>10000</v>
      </c>
      <c r="K46" s="71">
        <f t="shared" si="3"/>
        <v>0</v>
      </c>
    </row>
    <row r="47" spans="1:11" x14ac:dyDescent="0.25">
      <c r="A47" s="87">
        <v>3</v>
      </c>
      <c r="B47" s="86" t="s">
        <v>79</v>
      </c>
      <c r="C47" s="70">
        <v>44026</v>
      </c>
      <c r="D47" s="70">
        <v>44021</v>
      </c>
      <c r="E47" s="88">
        <f t="shared" si="2"/>
        <v>44027</v>
      </c>
      <c r="F47" s="55">
        <v>44013</v>
      </c>
      <c r="G47" s="89">
        <f>INDEX('XCAL Packages'!B:B,MATCH(H47,'XCAL Packages'!A:A,FALSE),1)</f>
        <v>7</v>
      </c>
      <c r="H47" s="65" t="s">
        <v>73</v>
      </c>
      <c r="I47" s="71">
        <v>10000</v>
      </c>
      <c r="J47" s="71">
        <v>10000</v>
      </c>
      <c r="K47" s="71">
        <f t="shared" si="3"/>
        <v>0</v>
      </c>
    </row>
    <row r="48" spans="1:11" x14ac:dyDescent="0.25">
      <c r="A48" s="85">
        <v>25</v>
      </c>
      <c r="B48" s="69" t="s">
        <v>285</v>
      </c>
      <c r="C48" s="70">
        <v>44025</v>
      </c>
      <c r="D48" s="70">
        <v>44025</v>
      </c>
      <c r="E48" s="88">
        <f t="shared" si="2"/>
        <v>44031</v>
      </c>
      <c r="F48" s="55">
        <v>44013</v>
      </c>
      <c r="G48" s="89">
        <f>INDEX('XCAL Packages'!B:B,MATCH(H48,'XCAL Packages'!A:A,FALSE),1)</f>
        <v>7</v>
      </c>
      <c r="H48" s="65" t="s">
        <v>69</v>
      </c>
      <c r="I48" s="71">
        <v>14000</v>
      </c>
      <c r="J48" s="71">
        <v>14000</v>
      </c>
      <c r="K48" s="71">
        <f t="shared" si="3"/>
        <v>0</v>
      </c>
    </row>
    <row r="49" spans="1:11" x14ac:dyDescent="0.25">
      <c r="A49" s="85">
        <v>26</v>
      </c>
      <c r="B49" s="69" t="s">
        <v>288</v>
      </c>
      <c r="C49" s="70">
        <v>44023</v>
      </c>
      <c r="D49" s="70">
        <v>44025</v>
      </c>
      <c r="E49" s="88">
        <f t="shared" si="2"/>
        <v>44031</v>
      </c>
      <c r="F49" s="55">
        <v>44013</v>
      </c>
      <c r="G49" s="89">
        <f>INDEX('XCAL Packages'!B:B,MATCH(H49,'XCAL Packages'!A:A,FALSE),1)</f>
        <v>7</v>
      </c>
      <c r="H49" s="65" t="s">
        <v>69</v>
      </c>
      <c r="I49" s="71">
        <v>14000</v>
      </c>
      <c r="J49" s="71">
        <v>14000</v>
      </c>
      <c r="K49" s="71">
        <f t="shared" si="3"/>
        <v>0</v>
      </c>
    </row>
    <row r="50" spans="1:11" x14ac:dyDescent="0.25">
      <c r="A50" s="87">
        <v>1</v>
      </c>
      <c r="B50" s="86" t="s">
        <v>61</v>
      </c>
      <c r="C50" s="70">
        <v>44029</v>
      </c>
      <c r="D50" s="88">
        <v>44026</v>
      </c>
      <c r="E50" s="88">
        <f t="shared" si="2"/>
        <v>44039</v>
      </c>
      <c r="F50" s="55">
        <v>44013</v>
      </c>
      <c r="G50" s="89">
        <f>INDEX('XCAL Packages'!B:B,MATCH(H50,'XCAL Packages'!A:A,FALSE),1)</f>
        <v>14</v>
      </c>
      <c r="H50" s="65" t="s">
        <v>74</v>
      </c>
      <c r="I50" s="89">
        <v>20000</v>
      </c>
      <c r="J50" s="89">
        <v>20000</v>
      </c>
      <c r="K50" s="71">
        <f t="shared" si="3"/>
        <v>0</v>
      </c>
    </row>
    <row r="51" spans="1:11" x14ac:dyDescent="0.25">
      <c r="A51" s="85">
        <v>22</v>
      </c>
      <c r="B51" s="69" t="s">
        <v>263</v>
      </c>
      <c r="C51" s="70">
        <v>44028</v>
      </c>
      <c r="D51" s="70">
        <v>44027</v>
      </c>
      <c r="E51" s="88">
        <f t="shared" si="2"/>
        <v>44033</v>
      </c>
      <c r="F51" s="55">
        <v>44013</v>
      </c>
      <c r="G51" s="89">
        <f>INDEX('XCAL Packages'!B:B,MATCH(H51,'XCAL Packages'!A:A,FALSE),1)</f>
        <v>7</v>
      </c>
      <c r="H51" s="65" t="s">
        <v>252</v>
      </c>
      <c r="I51" s="71">
        <v>8000</v>
      </c>
      <c r="J51" s="89">
        <v>8000</v>
      </c>
      <c r="K51" s="71">
        <f t="shared" si="3"/>
        <v>0</v>
      </c>
    </row>
    <row r="52" spans="1:11" x14ac:dyDescent="0.25">
      <c r="A52" s="87">
        <v>2</v>
      </c>
      <c r="B52" s="86" t="s">
        <v>62</v>
      </c>
      <c r="C52" s="70">
        <v>44040</v>
      </c>
      <c r="D52" s="70">
        <v>44029</v>
      </c>
      <c r="E52" s="88">
        <f t="shared" si="2"/>
        <v>44035</v>
      </c>
      <c r="F52" s="55">
        <v>44013</v>
      </c>
      <c r="G52" s="89">
        <f>INDEX('XCAL Packages'!B:B,MATCH(H52,'XCAL Packages'!A:A,FALSE),1)</f>
        <v>7</v>
      </c>
      <c r="H52" s="65" t="s">
        <v>73</v>
      </c>
      <c r="I52" s="71">
        <v>10000</v>
      </c>
      <c r="J52" s="71">
        <v>10000</v>
      </c>
      <c r="K52" s="71">
        <f t="shared" si="3"/>
        <v>0</v>
      </c>
    </row>
    <row r="53" spans="1:11" x14ac:dyDescent="0.25">
      <c r="A53" s="87">
        <v>14</v>
      </c>
      <c r="B53" s="86" t="s">
        <v>198</v>
      </c>
      <c r="C53" s="70">
        <v>44040</v>
      </c>
      <c r="D53" s="70">
        <v>44029</v>
      </c>
      <c r="E53" s="88">
        <f t="shared" si="2"/>
        <v>44042</v>
      </c>
      <c r="F53" s="55">
        <v>44013</v>
      </c>
      <c r="G53" s="89">
        <f>INDEX('XCAL Packages'!B:B,MATCH(H53,'XCAL Packages'!A:A,FALSE),1)</f>
        <v>14</v>
      </c>
      <c r="H53" s="65" t="s">
        <v>74</v>
      </c>
      <c r="I53" s="71">
        <v>19500</v>
      </c>
      <c r="J53" s="71">
        <v>19500</v>
      </c>
      <c r="K53" s="71">
        <f t="shared" si="3"/>
        <v>0</v>
      </c>
    </row>
    <row r="54" spans="1:11" x14ac:dyDescent="0.25">
      <c r="A54" s="87">
        <v>28</v>
      </c>
      <c r="B54" s="86" t="s">
        <v>295</v>
      </c>
      <c r="C54" s="88">
        <v>44030</v>
      </c>
      <c r="D54" s="88">
        <v>44029</v>
      </c>
      <c r="E54" s="88">
        <f t="shared" si="2"/>
        <v>44029</v>
      </c>
      <c r="F54" s="55">
        <v>44013</v>
      </c>
      <c r="G54" s="89">
        <f>INDEX('XCAL Packages'!B:B,MATCH(H54,'XCAL Packages'!A:A,FALSE),1)</f>
        <v>1</v>
      </c>
      <c r="H54" s="90" t="s">
        <v>269</v>
      </c>
      <c r="I54" s="89">
        <v>2000</v>
      </c>
      <c r="J54" s="89">
        <v>2000</v>
      </c>
      <c r="K54" s="89">
        <f t="shared" si="3"/>
        <v>0</v>
      </c>
    </row>
    <row r="55" spans="1:11" x14ac:dyDescent="0.25">
      <c r="A55" s="85">
        <v>25</v>
      </c>
      <c r="B55" s="69" t="s">
        <v>285</v>
      </c>
      <c r="C55" s="70">
        <v>44061</v>
      </c>
      <c r="D55" s="70">
        <v>44032</v>
      </c>
      <c r="E55" s="88">
        <f t="shared" si="2"/>
        <v>44038</v>
      </c>
      <c r="F55" s="55">
        <v>44013</v>
      </c>
      <c r="G55" s="89">
        <f>INDEX('XCAL Packages'!B:B,MATCH(H55,'XCAL Packages'!A:A,FALSE),1)</f>
        <v>7</v>
      </c>
      <c r="H55" s="65" t="s">
        <v>69</v>
      </c>
      <c r="I55" s="71">
        <v>14000</v>
      </c>
      <c r="J55" s="89">
        <v>14000</v>
      </c>
      <c r="K55" s="71">
        <f t="shared" si="3"/>
        <v>0</v>
      </c>
    </row>
    <row r="56" spans="1:11" x14ac:dyDescent="0.25">
      <c r="A56" s="85">
        <v>22</v>
      </c>
      <c r="B56" s="69" t="s">
        <v>263</v>
      </c>
      <c r="C56" s="70">
        <v>44036</v>
      </c>
      <c r="D56" s="70">
        <v>44034</v>
      </c>
      <c r="E56" s="88">
        <f t="shared" si="2"/>
        <v>44040</v>
      </c>
      <c r="F56" s="55">
        <v>44013</v>
      </c>
      <c r="G56" s="89">
        <f>INDEX('XCAL Packages'!B:B,MATCH(H56,'XCAL Packages'!A:A,FALSE),1)</f>
        <v>7</v>
      </c>
      <c r="H56" s="65" t="s">
        <v>252</v>
      </c>
      <c r="I56" s="71">
        <v>8000</v>
      </c>
      <c r="J56" s="89">
        <v>8000</v>
      </c>
      <c r="K56" s="71">
        <f t="shared" si="3"/>
        <v>0</v>
      </c>
    </row>
    <row r="57" spans="1:11" x14ac:dyDescent="0.25">
      <c r="A57" s="87">
        <v>2</v>
      </c>
      <c r="B57" s="86" t="s">
        <v>62</v>
      </c>
      <c r="C57" s="70">
        <v>44040</v>
      </c>
      <c r="D57" s="70">
        <v>44036</v>
      </c>
      <c r="E57" s="88">
        <f t="shared" si="2"/>
        <v>44042</v>
      </c>
      <c r="F57" s="55">
        <v>44013</v>
      </c>
      <c r="G57" s="89">
        <f>INDEX('XCAL Packages'!B:B,MATCH(H57,'XCAL Packages'!A:A,FALSE),1)</f>
        <v>7</v>
      </c>
      <c r="H57" s="65" t="s">
        <v>69</v>
      </c>
      <c r="I57" s="71">
        <v>14000</v>
      </c>
      <c r="J57" s="89">
        <v>14000</v>
      </c>
      <c r="K57" s="71">
        <f t="shared" si="3"/>
        <v>0</v>
      </c>
    </row>
    <row r="58" spans="1:11" x14ac:dyDescent="0.25">
      <c r="A58" s="85">
        <v>25</v>
      </c>
      <c r="B58" s="69" t="s">
        <v>285</v>
      </c>
      <c r="C58" s="70">
        <v>44061</v>
      </c>
      <c r="D58" s="70">
        <v>44039</v>
      </c>
      <c r="E58" s="88">
        <f t="shared" si="2"/>
        <v>44045</v>
      </c>
      <c r="F58" s="55">
        <v>44013</v>
      </c>
      <c r="G58" s="89">
        <f>INDEX('XCAL Packages'!B:B,MATCH(H58,'XCAL Packages'!A:A,FALSE),1)</f>
        <v>7</v>
      </c>
      <c r="H58" s="65" t="s">
        <v>73</v>
      </c>
      <c r="I58" s="71">
        <v>10000</v>
      </c>
      <c r="J58" s="89">
        <v>10000</v>
      </c>
      <c r="K58" s="71">
        <f t="shared" si="3"/>
        <v>0</v>
      </c>
    </row>
    <row r="59" spans="1:11" x14ac:dyDescent="0.25">
      <c r="A59" s="87">
        <v>1</v>
      </c>
      <c r="B59" s="86" t="s">
        <v>61</v>
      </c>
      <c r="C59" s="70">
        <v>44051</v>
      </c>
      <c r="D59" s="88">
        <v>44040</v>
      </c>
      <c r="E59" s="88">
        <f t="shared" si="2"/>
        <v>44053</v>
      </c>
      <c r="F59" s="55">
        <v>44013</v>
      </c>
      <c r="G59" s="89">
        <f>INDEX('XCAL Packages'!B:B,MATCH(H59,'XCAL Packages'!A:A,FALSE),1)</f>
        <v>14</v>
      </c>
      <c r="H59" s="65" t="s">
        <v>74</v>
      </c>
      <c r="I59" s="89">
        <v>20000</v>
      </c>
      <c r="J59" s="89">
        <v>20000</v>
      </c>
      <c r="K59" s="71">
        <f t="shared" si="3"/>
        <v>0</v>
      </c>
    </row>
    <row r="60" spans="1:11" x14ac:dyDescent="0.25">
      <c r="A60" s="87">
        <v>14</v>
      </c>
      <c r="B60" s="86" t="s">
        <v>198</v>
      </c>
      <c r="C60" s="70">
        <v>44030</v>
      </c>
      <c r="D60" s="70">
        <v>44043</v>
      </c>
      <c r="E60" s="88">
        <f t="shared" si="2"/>
        <v>44043</v>
      </c>
      <c r="F60" s="55">
        <v>44013</v>
      </c>
      <c r="G60" s="89">
        <f>INDEX('XCAL Packages'!B:B,MATCH(H60,'XCAL Packages'!A:A,FALSE),1)</f>
        <v>1</v>
      </c>
      <c r="H60" s="65" t="s">
        <v>270</v>
      </c>
      <c r="I60" s="71">
        <v>0</v>
      </c>
      <c r="J60" s="89">
        <v>0</v>
      </c>
      <c r="K60" s="71">
        <f t="shared" si="3"/>
        <v>0</v>
      </c>
    </row>
    <row r="61" spans="1:11" x14ac:dyDescent="0.25">
      <c r="A61" s="87">
        <v>14</v>
      </c>
      <c r="B61" s="86" t="s">
        <v>198</v>
      </c>
      <c r="C61" s="70">
        <v>44067</v>
      </c>
      <c r="D61" s="70">
        <v>44049</v>
      </c>
      <c r="E61" s="88">
        <f t="shared" si="2"/>
        <v>44055</v>
      </c>
      <c r="F61" s="55">
        <v>44044</v>
      </c>
      <c r="G61" s="89">
        <f>INDEX('XCAL Packages'!B:B,MATCH(H61,'XCAL Packages'!A:A,FALSE),1)</f>
        <v>7</v>
      </c>
      <c r="H61" s="65" t="s">
        <v>73</v>
      </c>
      <c r="I61" s="71">
        <v>10000</v>
      </c>
      <c r="J61" s="89">
        <v>10000</v>
      </c>
      <c r="K61" s="71">
        <f t="shared" si="3"/>
        <v>0</v>
      </c>
    </row>
    <row r="62" spans="1:11" x14ac:dyDescent="0.25">
      <c r="A62" s="85">
        <v>25</v>
      </c>
      <c r="B62" s="69" t="s">
        <v>285</v>
      </c>
      <c r="C62" s="70">
        <v>44061</v>
      </c>
      <c r="D62" s="70">
        <v>44050</v>
      </c>
      <c r="E62" s="88">
        <f t="shared" si="2"/>
        <v>44056</v>
      </c>
      <c r="F62" s="55">
        <v>44044</v>
      </c>
      <c r="G62" s="89">
        <f>INDEX('XCAL Packages'!B:B,MATCH(H62,'XCAL Packages'!A:A,FALSE),1)</f>
        <v>7</v>
      </c>
      <c r="H62" s="65" t="s">
        <v>73</v>
      </c>
      <c r="I62" s="71">
        <v>10000</v>
      </c>
      <c r="J62" s="89">
        <v>10000</v>
      </c>
      <c r="K62" s="71">
        <f t="shared" si="3"/>
        <v>0</v>
      </c>
    </row>
  </sheetData>
  <sortState ref="A3:K62">
    <sortCondition ref="D3:D62"/>
    <sortCondition ref="A3:A62"/>
  </sortState>
  <pageMargins left="0.7" right="0.7" top="0.75" bottom="0.75" header="0.3" footer="0.3"/>
  <pageSetup paperSize="9" scale="6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'XCAL Packages'!$A$2:$A$44</xm:f>
          </x14:formula1>
          <xm:sqref>H3:H62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5" workbookViewId="0">
      <selection activeCell="C60" sqref="C60"/>
    </sheetView>
  </sheetViews>
  <sheetFormatPr defaultRowHeight="15" x14ac:dyDescent="0.25"/>
  <cols>
    <col min="1" max="1" width="36.42578125" bestFit="1" customWidth="1"/>
    <col min="2" max="2" width="5.5703125" bestFit="1" customWidth="1"/>
    <col min="3" max="3" width="8.140625" bestFit="1" customWidth="1"/>
  </cols>
  <sheetData>
    <row r="1" spans="1:3" ht="16.5" x14ac:dyDescent="0.25">
      <c r="A1" s="66" t="s">
        <v>2</v>
      </c>
      <c r="B1" s="66" t="s">
        <v>63</v>
      </c>
      <c r="C1" s="66" t="s">
        <v>6</v>
      </c>
    </row>
    <row r="2" spans="1:3" ht="16.5" x14ac:dyDescent="0.25">
      <c r="A2" s="65" t="s">
        <v>72</v>
      </c>
      <c r="B2" s="71">
        <v>30</v>
      </c>
      <c r="C2" s="71">
        <v>56000</v>
      </c>
    </row>
    <row r="3" spans="1:3" ht="16.5" x14ac:dyDescent="0.25">
      <c r="A3" s="65" t="s">
        <v>71</v>
      </c>
      <c r="B3" s="71">
        <v>21</v>
      </c>
      <c r="C3" s="71">
        <v>42000</v>
      </c>
    </row>
    <row r="4" spans="1:3" ht="16.5" x14ac:dyDescent="0.25">
      <c r="A4" s="65" t="s">
        <v>70</v>
      </c>
      <c r="B4" s="71">
        <v>14</v>
      </c>
      <c r="C4" s="71">
        <v>28000</v>
      </c>
    </row>
    <row r="5" spans="1:3" ht="16.5" x14ac:dyDescent="0.25">
      <c r="A5" s="65" t="s">
        <v>69</v>
      </c>
      <c r="B5" s="71">
        <v>7</v>
      </c>
      <c r="C5" s="71">
        <v>14000</v>
      </c>
    </row>
    <row r="6" spans="1:3" ht="16.5" x14ac:dyDescent="0.25">
      <c r="A6" s="65" t="s">
        <v>76</v>
      </c>
      <c r="B6" s="71">
        <v>30</v>
      </c>
      <c r="C6" s="71">
        <v>39500</v>
      </c>
    </row>
    <row r="7" spans="1:3" ht="16.5" x14ac:dyDescent="0.25">
      <c r="A7" s="65" t="s">
        <v>75</v>
      </c>
      <c r="B7" s="71">
        <v>21</v>
      </c>
      <c r="C7" s="71">
        <v>30000</v>
      </c>
    </row>
    <row r="8" spans="1:3" ht="16.5" x14ac:dyDescent="0.25">
      <c r="A8" s="65" t="s">
        <v>74</v>
      </c>
      <c r="B8" s="71">
        <v>14</v>
      </c>
      <c r="C8" s="71">
        <v>20000</v>
      </c>
    </row>
    <row r="9" spans="1:3" ht="16.5" x14ac:dyDescent="0.25">
      <c r="A9" s="65" t="s">
        <v>73</v>
      </c>
      <c r="B9" s="71">
        <v>7</v>
      </c>
      <c r="C9" s="71">
        <v>10000</v>
      </c>
    </row>
    <row r="10" spans="1:3" ht="16.5" x14ac:dyDescent="0.25">
      <c r="A10" s="65" t="s">
        <v>215</v>
      </c>
      <c r="B10" s="71">
        <v>30</v>
      </c>
      <c r="C10" s="71">
        <v>18000</v>
      </c>
    </row>
    <row r="11" spans="1:3" ht="16.5" x14ac:dyDescent="0.25">
      <c r="A11" s="65" t="s">
        <v>216</v>
      </c>
      <c r="B11" s="71">
        <v>21</v>
      </c>
      <c r="C11" s="71">
        <v>15000</v>
      </c>
    </row>
    <row r="12" spans="1:3" ht="16.5" x14ac:dyDescent="0.25">
      <c r="A12" s="65" t="s">
        <v>217</v>
      </c>
      <c r="B12" s="71">
        <v>14</v>
      </c>
      <c r="C12" s="71">
        <v>10000</v>
      </c>
    </row>
    <row r="13" spans="1:3" ht="16.5" x14ac:dyDescent="0.25">
      <c r="A13" s="65" t="s">
        <v>218</v>
      </c>
      <c r="B13" s="71">
        <v>7</v>
      </c>
      <c r="C13" s="71">
        <v>5000</v>
      </c>
    </row>
    <row r="14" spans="1:3" ht="16.5" x14ac:dyDescent="0.25">
      <c r="A14" s="65" t="s">
        <v>219</v>
      </c>
      <c r="B14" s="71">
        <v>30</v>
      </c>
      <c r="C14" s="71">
        <v>15000</v>
      </c>
    </row>
    <row r="15" spans="1:3" ht="16.5" x14ac:dyDescent="0.25">
      <c r="A15" s="65" t="s">
        <v>220</v>
      </c>
      <c r="B15" s="71">
        <v>21</v>
      </c>
      <c r="C15" s="71">
        <v>12000</v>
      </c>
    </row>
    <row r="16" spans="1:3" ht="16.5" x14ac:dyDescent="0.25">
      <c r="A16" s="65" t="s">
        <v>221</v>
      </c>
      <c r="B16" s="71">
        <v>14</v>
      </c>
      <c r="C16" s="71">
        <v>8000</v>
      </c>
    </row>
    <row r="17" spans="1:3" ht="16.5" x14ac:dyDescent="0.25">
      <c r="A17" s="65" t="s">
        <v>222</v>
      </c>
      <c r="B17" s="71">
        <v>7</v>
      </c>
      <c r="C17" s="71">
        <v>4000</v>
      </c>
    </row>
    <row r="18" spans="1:3" ht="16.5" x14ac:dyDescent="0.25">
      <c r="A18" s="65" t="s">
        <v>223</v>
      </c>
      <c r="B18" s="71">
        <v>30</v>
      </c>
      <c r="C18" s="71">
        <v>18000</v>
      </c>
    </row>
    <row r="19" spans="1:3" ht="16.5" x14ac:dyDescent="0.25">
      <c r="A19" s="65" t="s">
        <v>224</v>
      </c>
      <c r="B19" s="71">
        <v>21</v>
      </c>
      <c r="C19" s="71">
        <v>15000</v>
      </c>
    </row>
    <row r="20" spans="1:3" ht="16.5" x14ac:dyDescent="0.25">
      <c r="A20" s="65" t="s">
        <v>225</v>
      </c>
      <c r="B20" s="71">
        <v>14</v>
      </c>
      <c r="C20" s="71">
        <v>10000</v>
      </c>
    </row>
    <row r="21" spans="1:3" ht="16.5" x14ac:dyDescent="0.25">
      <c r="A21" s="65" t="s">
        <v>226</v>
      </c>
      <c r="B21" s="71">
        <v>7</v>
      </c>
      <c r="C21" s="71">
        <v>5000</v>
      </c>
    </row>
    <row r="22" spans="1:3" ht="16.5" x14ac:dyDescent="0.25">
      <c r="A22" s="65" t="s">
        <v>227</v>
      </c>
      <c r="B22" s="71">
        <v>30</v>
      </c>
      <c r="C22" s="71">
        <v>15000</v>
      </c>
    </row>
    <row r="23" spans="1:3" ht="16.5" x14ac:dyDescent="0.25">
      <c r="A23" s="65" t="s">
        <v>228</v>
      </c>
      <c r="B23" s="71">
        <v>21</v>
      </c>
      <c r="C23" s="71">
        <v>12000</v>
      </c>
    </row>
    <row r="24" spans="1:3" ht="16.5" x14ac:dyDescent="0.25">
      <c r="A24" s="65" t="s">
        <v>229</v>
      </c>
      <c r="B24" s="71">
        <v>14</v>
      </c>
      <c r="C24" s="71">
        <v>8000</v>
      </c>
    </row>
    <row r="25" spans="1:3" ht="16.5" x14ac:dyDescent="0.25">
      <c r="A25" s="65" t="s">
        <v>230</v>
      </c>
      <c r="B25" s="71">
        <v>7</v>
      </c>
      <c r="C25" s="71">
        <v>4000</v>
      </c>
    </row>
    <row r="26" spans="1:3" ht="16.5" x14ac:dyDescent="0.25">
      <c r="A26" s="90" t="s">
        <v>245</v>
      </c>
      <c r="B26" s="89">
        <v>30</v>
      </c>
      <c r="C26" s="89">
        <v>36000</v>
      </c>
    </row>
    <row r="27" spans="1:3" ht="16.5" x14ac:dyDescent="0.25">
      <c r="A27" s="90" t="s">
        <v>246</v>
      </c>
      <c r="B27" s="89">
        <v>21</v>
      </c>
      <c r="C27" s="89">
        <v>30000</v>
      </c>
    </row>
    <row r="28" spans="1:3" ht="16.5" x14ac:dyDescent="0.25">
      <c r="A28" s="90" t="s">
        <v>247</v>
      </c>
      <c r="B28" s="89">
        <v>14</v>
      </c>
      <c r="C28" s="89">
        <v>20000</v>
      </c>
    </row>
    <row r="29" spans="1:3" ht="16.5" x14ac:dyDescent="0.25">
      <c r="A29" s="90" t="s">
        <v>248</v>
      </c>
      <c r="B29" s="89">
        <v>7</v>
      </c>
      <c r="C29" s="89">
        <v>10000</v>
      </c>
    </row>
    <row r="30" spans="1:3" ht="16.5" x14ac:dyDescent="0.25">
      <c r="A30" s="90" t="s">
        <v>249</v>
      </c>
      <c r="B30" s="89">
        <v>30</v>
      </c>
      <c r="C30" s="89">
        <v>30000</v>
      </c>
    </row>
    <row r="31" spans="1:3" ht="16.5" x14ac:dyDescent="0.25">
      <c r="A31" s="90" t="s">
        <v>250</v>
      </c>
      <c r="B31" s="89">
        <v>21</v>
      </c>
      <c r="C31" s="89">
        <v>24000</v>
      </c>
    </row>
    <row r="32" spans="1:3" ht="16.5" x14ac:dyDescent="0.25">
      <c r="A32" s="90" t="s">
        <v>251</v>
      </c>
      <c r="B32" s="89">
        <v>14</v>
      </c>
      <c r="C32" s="89">
        <v>16000</v>
      </c>
    </row>
    <row r="33" spans="1:3" ht="16.5" x14ac:dyDescent="0.25">
      <c r="A33" s="90" t="s">
        <v>252</v>
      </c>
      <c r="B33" s="89">
        <v>7</v>
      </c>
      <c r="C33" s="89">
        <v>8000</v>
      </c>
    </row>
    <row r="34" spans="1:3" ht="16.5" x14ac:dyDescent="0.25">
      <c r="A34" s="90" t="s">
        <v>253</v>
      </c>
      <c r="B34" s="89">
        <v>30</v>
      </c>
      <c r="C34" s="89">
        <v>36000</v>
      </c>
    </row>
    <row r="35" spans="1:3" ht="16.5" x14ac:dyDescent="0.25">
      <c r="A35" s="90" t="s">
        <v>254</v>
      </c>
      <c r="B35" s="89">
        <v>21</v>
      </c>
      <c r="C35" s="89">
        <v>30000</v>
      </c>
    </row>
    <row r="36" spans="1:3" ht="16.5" x14ac:dyDescent="0.25">
      <c r="A36" s="90" t="s">
        <v>255</v>
      </c>
      <c r="B36" s="89">
        <v>14</v>
      </c>
      <c r="C36" s="89">
        <v>20000</v>
      </c>
    </row>
    <row r="37" spans="1:3" ht="16.5" x14ac:dyDescent="0.25">
      <c r="A37" s="90" t="s">
        <v>256</v>
      </c>
      <c r="B37" s="89">
        <v>7</v>
      </c>
      <c r="C37" s="89">
        <v>10000</v>
      </c>
    </row>
    <row r="38" spans="1:3" ht="16.5" x14ac:dyDescent="0.25">
      <c r="A38" s="90" t="s">
        <v>257</v>
      </c>
      <c r="B38" s="89">
        <v>30</v>
      </c>
      <c r="C38" s="89">
        <v>30000</v>
      </c>
    </row>
    <row r="39" spans="1:3" ht="16.5" x14ac:dyDescent="0.25">
      <c r="A39" s="90" t="s">
        <v>258</v>
      </c>
      <c r="B39" s="89">
        <v>21</v>
      </c>
      <c r="C39" s="89">
        <v>24000</v>
      </c>
    </row>
    <row r="40" spans="1:3" ht="16.5" x14ac:dyDescent="0.25">
      <c r="A40" s="90" t="s">
        <v>259</v>
      </c>
      <c r="B40" s="89">
        <v>14</v>
      </c>
      <c r="C40" s="89">
        <v>16000</v>
      </c>
    </row>
    <row r="41" spans="1:3" ht="16.5" x14ac:dyDescent="0.25">
      <c r="A41" s="90" t="s">
        <v>260</v>
      </c>
      <c r="B41" s="89">
        <v>7</v>
      </c>
      <c r="C41" s="89">
        <v>8000</v>
      </c>
    </row>
    <row r="42" spans="1:3" ht="16.5" x14ac:dyDescent="0.25">
      <c r="A42" s="90" t="s">
        <v>267</v>
      </c>
      <c r="B42" s="89">
        <v>14</v>
      </c>
      <c r="C42" s="89">
        <v>32000</v>
      </c>
    </row>
    <row r="43" spans="1:3" ht="16.5" x14ac:dyDescent="0.25">
      <c r="A43" s="90" t="s">
        <v>269</v>
      </c>
      <c r="B43" s="89">
        <v>1</v>
      </c>
      <c r="C43" s="89">
        <v>2000</v>
      </c>
    </row>
    <row r="44" spans="1:3" ht="16.5" x14ac:dyDescent="0.25">
      <c r="A44" s="90" t="s">
        <v>270</v>
      </c>
      <c r="B44" s="89">
        <v>1</v>
      </c>
      <c r="C44" s="89">
        <v>1500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2" topLeftCell="A3" activePane="bottomLeft" state="frozen"/>
      <selection pane="bottomLeft"/>
    </sheetView>
  </sheetViews>
  <sheetFormatPr defaultColWidth="8.85546875" defaultRowHeight="16.5" x14ac:dyDescent="0.25"/>
  <cols>
    <col min="1" max="1" width="12.5703125" style="47" bestFit="1" customWidth="1"/>
    <col min="2" max="2" width="87.28515625" style="47" bestFit="1" customWidth="1"/>
    <col min="3" max="3" width="8.140625" style="47" bestFit="1" customWidth="1"/>
    <col min="4" max="4" width="11" style="47" bestFit="1" customWidth="1"/>
    <col min="5" max="5" width="8.42578125" style="47" bestFit="1" customWidth="1"/>
    <col min="6" max="16384" width="8.85546875" style="47"/>
  </cols>
  <sheetData>
    <row r="1" spans="1:5" x14ac:dyDescent="0.25">
      <c r="C1" s="1">
        <f>SUM(C3:C111003)</f>
        <v>0</v>
      </c>
      <c r="D1" s="1">
        <f>SUM(D3:D111003)</f>
        <v>0</v>
      </c>
      <c r="E1" s="1">
        <f>SUM(E3:E111003)</f>
        <v>0</v>
      </c>
    </row>
    <row r="2" spans="1:5" x14ac:dyDescent="0.25">
      <c r="A2" s="39" t="s">
        <v>5</v>
      </c>
      <c r="B2" s="39" t="s">
        <v>9</v>
      </c>
      <c r="C2" s="39" t="s">
        <v>6</v>
      </c>
      <c r="D2" s="39" t="s">
        <v>7</v>
      </c>
      <c r="E2" s="40" t="s">
        <v>4</v>
      </c>
    </row>
    <row r="3" spans="1:5" x14ac:dyDescent="0.25">
      <c r="A3" s="48"/>
      <c r="B3" s="49"/>
      <c r="C3" s="50"/>
      <c r="D3" s="50"/>
      <c r="E3" s="50">
        <f>C3-D3</f>
        <v>0</v>
      </c>
    </row>
    <row r="4" spans="1:5" x14ac:dyDescent="0.25">
      <c r="A4" s="48"/>
      <c r="B4" s="49"/>
      <c r="C4" s="50"/>
      <c r="D4" s="50"/>
      <c r="E4" s="50">
        <f t="shared" ref="E4:E10" si="0">C4-D4</f>
        <v>0</v>
      </c>
    </row>
    <row r="5" spans="1:5" x14ac:dyDescent="0.25">
      <c r="A5" s="48"/>
      <c r="B5" s="49"/>
      <c r="C5" s="50"/>
      <c r="D5" s="50"/>
      <c r="E5" s="50">
        <f t="shared" si="0"/>
        <v>0</v>
      </c>
    </row>
    <row r="6" spans="1:5" x14ac:dyDescent="0.25">
      <c r="A6" s="48"/>
      <c r="B6" s="49"/>
      <c r="C6" s="50"/>
      <c r="D6" s="50"/>
      <c r="E6" s="50">
        <f t="shared" si="0"/>
        <v>0</v>
      </c>
    </row>
    <row r="7" spans="1:5" x14ac:dyDescent="0.25">
      <c r="A7" s="48"/>
      <c r="B7" s="49"/>
      <c r="C7" s="50"/>
      <c r="D7" s="50"/>
      <c r="E7" s="50">
        <f t="shared" si="0"/>
        <v>0</v>
      </c>
    </row>
    <row r="8" spans="1:5" x14ac:dyDescent="0.25">
      <c r="A8" s="48"/>
      <c r="B8" s="49"/>
      <c r="C8" s="50"/>
      <c r="D8" s="50"/>
      <c r="E8" s="50">
        <f t="shared" si="0"/>
        <v>0</v>
      </c>
    </row>
    <row r="9" spans="1:5" x14ac:dyDescent="0.25">
      <c r="A9" s="48"/>
      <c r="B9" s="49"/>
      <c r="C9" s="50"/>
      <c r="D9" s="50"/>
      <c r="E9" s="50">
        <f t="shared" si="0"/>
        <v>0</v>
      </c>
    </row>
    <row r="10" spans="1:5" x14ac:dyDescent="0.25">
      <c r="A10" s="48"/>
      <c r="B10" s="49"/>
      <c r="C10" s="50"/>
      <c r="D10" s="50"/>
      <c r="E10" s="50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90" zoomScaleNormal="90" workbookViewId="0">
      <selection activeCell="C8" sqref="C8"/>
    </sheetView>
  </sheetViews>
  <sheetFormatPr defaultColWidth="8.85546875" defaultRowHeight="26.65" customHeight="1" x14ac:dyDescent="0.25"/>
  <cols>
    <col min="1" max="1" width="25.28515625" style="27" customWidth="1"/>
    <col min="2" max="2" width="16.140625" style="31" customWidth="1"/>
    <col min="3" max="4" width="18.140625" style="31" customWidth="1"/>
    <col min="5" max="5" width="18.140625" style="27" customWidth="1"/>
    <col min="6" max="16384" width="8.85546875" style="27"/>
  </cols>
  <sheetData>
    <row r="1" spans="1:5" ht="26.65" customHeight="1" x14ac:dyDescent="0.25">
      <c r="A1" s="25"/>
      <c r="B1" s="26" t="s">
        <v>3</v>
      </c>
      <c r="C1" s="26" t="s">
        <v>8</v>
      </c>
      <c r="D1" s="26" t="s">
        <v>13</v>
      </c>
      <c r="E1" s="26" t="s">
        <v>4</v>
      </c>
    </row>
    <row r="2" spans="1:5" ht="26.65" customHeight="1" x14ac:dyDescent="0.25">
      <c r="A2" s="25" t="s">
        <v>57</v>
      </c>
      <c r="B2" s="28">
        <f>'XCAL Clients Feeded'!I1</f>
        <v>925250</v>
      </c>
      <c r="C2" s="28">
        <f>'XCAL Clients Feeded'!J1</f>
        <v>925250</v>
      </c>
      <c r="D2" s="28">
        <f>C2</f>
        <v>925250</v>
      </c>
      <c r="E2" s="28">
        <f>'XCAL Clients Feeded'!K1</f>
        <v>0</v>
      </c>
    </row>
    <row r="3" spans="1:5" ht="26.65" customHeight="1" x14ac:dyDescent="0.25">
      <c r="A3" s="25" t="s">
        <v>44</v>
      </c>
      <c r="B3" s="28"/>
      <c r="C3" s="28">
        <f>'Misc Revenue'!D1</f>
        <v>0</v>
      </c>
      <c r="D3" s="28">
        <f>C3</f>
        <v>0</v>
      </c>
      <c r="E3" s="28">
        <f>'Misc Revenue'!E1</f>
        <v>0</v>
      </c>
    </row>
    <row r="4" spans="1:5" ht="26.65" customHeight="1" x14ac:dyDescent="0.25">
      <c r="A4" s="29" t="s">
        <v>12</v>
      </c>
      <c r="B4" s="30"/>
      <c r="C4" s="30">
        <f>SUM(C2:C3)</f>
        <v>925250</v>
      </c>
      <c r="D4" s="30">
        <f>C4</f>
        <v>925250</v>
      </c>
      <c r="E4" s="30">
        <f>SUM(E2:E3)</f>
        <v>0</v>
      </c>
    </row>
    <row r="6" spans="1:5" ht="26.65" customHeight="1" x14ac:dyDescent="0.2">
      <c r="D6" s="34"/>
    </row>
    <row r="7" spans="1:5" ht="26.65" customHeight="1" x14ac:dyDescent="0.25">
      <c r="C7" s="30">
        <v>925250</v>
      </c>
    </row>
    <row r="8" spans="1:5" ht="26.65" customHeight="1" x14ac:dyDescent="0.25">
      <c r="C8" s="30">
        <f>C4-C7</f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7"/>
  <sheetViews>
    <sheetView tabSelected="1" workbookViewId="0">
      <pane ySplit="1" topLeftCell="A119" activePane="bottomLeft" state="frozen"/>
      <selection sqref="A1:XFD1048576"/>
      <selection pane="bottomLeft" activeCell="E135" sqref="E135:F137"/>
    </sheetView>
  </sheetViews>
  <sheetFormatPr defaultRowHeight="16.5" x14ac:dyDescent="0.25"/>
  <cols>
    <col min="1" max="1" width="12.85546875" style="45" bestFit="1" customWidth="1"/>
    <col min="2" max="2" width="9.28515625" style="45" bestFit="1" customWidth="1"/>
    <col min="3" max="3" width="11.140625" style="45" bestFit="1" customWidth="1"/>
    <col min="4" max="4" width="24.85546875" style="45" bestFit="1" customWidth="1"/>
    <col min="5" max="5" width="15" style="45" bestFit="1" customWidth="1"/>
    <col min="6" max="6" width="54.28515625" style="41" customWidth="1"/>
    <col min="7" max="7" width="8.85546875" style="46" bestFit="1" customWidth="1"/>
    <col min="8" max="8" width="7.42578125" style="41" bestFit="1" customWidth="1"/>
    <col min="9" max="9" width="9.85546875" style="41" bestFit="1" customWidth="1"/>
    <col min="10" max="10" width="9.140625" style="41"/>
    <col min="11" max="11" width="12.140625" style="41" customWidth="1"/>
    <col min="12" max="16384" width="9.140625" style="41"/>
  </cols>
  <sheetData>
    <row r="1" spans="1:12" s="44" customFormat="1" ht="21" customHeight="1" x14ac:dyDescent="0.25">
      <c r="A1" s="43" t="s">
        <v>14</v>
      </c>
      <c r="B1" s="43" t="s">
        <v>33</v>
      </c>
      <c r="C1" s="43" t="s">
        <v>32</v>
      </c>
      <c r="D1" s="43" t="s">
        <v>31</v>
      </c>
      <c r="E1" s="43" t="s">
        <v>51</v>
      </c>
      <c r="F1" s="43" t="s">
        <v>30</v>
      </c>
      <c r="G1" s="43" t="s">
        <v>6</v>
      </c>
      <c r="I1" s="42">
        <f>SUM(G2:G107395)</f>
        <v>3240250</v>
      </c>
      <c r="K1" s="44" t="s">
        <v>314</v>
      </c>
      <c r="L1" s="42">
        <f>SUM(H2:H153)</f>
        <v>1079601</v>
      </c>
    </row>
    <row r="2" spans="1:12" ht="33" x14ac:dyDescent="0.25">
      <c r="A2" s="54" t="s">
        <v>149</v>
      </c>
      <c r="B2" s="55">
        <v>43678</v>
      </c>
      <c r="C2" s="54" t="s">
        <v>16</v>
      </c>
      <c r="D2" s="54" t="s">
        <v>53</v>
      </c>
      <c r="E2" s="54" t="s">
        <v>200</v>
      </c>
      <c r="F2" s="56" t="s">
        <v>150</v>
      </c>
      <c r="G2" s="53">
        <v>200000</v>
      </c>
    </row>
    <row r="3" spans="1:12" ht="33" x14ac:dyDescent="0.25">
      <c r="A3" s="54" t="s">
        <v>149</v>
      </c>
      <c r="B3" s="55">
        <v>43709</v>
      </c>
      <c r="C3" s="54" t="s">
        <v>16</v>
      </c>
      <c r="D3" s="54" t="s">
        <v>53</v>
      </c>
      <c r="E3" s="54" t="s">
        <v>200</v>
      </c>
      <c r="F3" s="56" t="s">
        <v>150</v>
      </c>
      <c r="G3" s="53">
        <v>300000</v>
      </c>
    </row>
    <row r="4" spans="1:12" x14ac:dyDescent="0.25">
      <c r="A4" s="54" t="s">
        <v>151</v>
      </c>
      <c r="B4" s="55">
        <v>43709</v>
      </c>
      <c r="C4" s="54" t="s">
        <v>16</v>
      </c>
      <c r="D4" s="54" t="s">
        <v>54</v>
      </c>
      <c r="E4" s="54" t="s">
        <v>200</v>
      </c>
      <c r="F4" s="56" t="s">
        <v>152</v>
      </c>
      <c r="G4" s="53">
        <v>50000</v>
      </c>
    </row>
    <row r="5" spans="1:12" ht="33" x14ac:dyDescent="0.25">
      <c r="A5" s="54" t="s">
        <v>153</v>
      </c>
      <c r="B5" s="55">
        <v>43739</v>
      </c>
      <c r="C5" s="54" t="s">
        <v>16</v>
      </c>
      <c r="D5" s="54" t="s">
        <v>53</v>
      </c>
      <c r="E5" s="54" t="s">
        <v>200</v>
      </c>
      <c r="F5" s="56" t="s">
        <v>154</v>
      </c>
      <c r="G5" s="53">
        <v>200000</v>
      </c>
    </row>
    <row r="6" spans="1:12" x14ac:dyDescent="0.25">
      <c r="A6" s="57" t="s">
        <v>155</v>
      </c>
      <c r="B6" s="55">
        <v>43739</v>
      </c>
      <c r="C6" s="57" t="s">
        <v>16</v>
      </c>
      <c r="D6" s="57" t="s">
        <v>17</v>
      </c>
      <c r="E6" s="54" t="s">
        <v>200</v>
      </c>
      <c r="F6" s="59" t="s">
        <v>85</v>
      </c>
      <c r="G6" s="42">
        <v>274054</v>
      </c>
    </row>
    <row r="7" spans="1:12" x14ac:dyDescent="0.25">
      <c r="A7" s="54" t="s">
        <v>156</v>
      </c>
      <c r="B7" s="55">
        <v>43739</v>
      </c>
      <c r="C7" s="54" t="s">
        <v>16</v>
      </c>
      <c r="D7" s="54" t="s">
        <v>53</v>
      </c>
      <c r="E7" s="54" t="s">
        <v>200</v>
      </c>
      <c r="F7" s="56" t="s">
        <v>157</v>
      </c>
      <c r="G7" s="53">
        <v>57000</v>
      </c>
    </row>
    <row r="8" spans="1:12" ht="33" x14ac:dyDescent="0.25">
      <c r="A8" s="57" t="s">
        <v>158</v>
      </c>
      <c r="B8" s="55">
        <v>43739</v>
      </c>
      <c r="C8" s="57" t="s">
        <v>16</v>
      </c>
      <c r="D8" s="57" t="s">
        <v>54</v>
      </c>
      <c r="E8" s="54" t="s">
        <v>200</v>
      </c>
      <c r="F8" s="59" t="s">
        <v>82</v>
      </c>
      <c r="G8" s="42">
        <v>20000</v>
      </c>
    </row>
    <row r="9" spans="1:12" x14ac:dyDescent="0.25">
      <c r="A9" s="54" t="s">
        <v>159</v>
      </c>
      <c r="B9" s="55">
        <v>43770</v>
      </c>
      <c r="C9" s="54" t="s">
        <v>16</v>
      </c>
      <c r="D9" s="54" t="s">
        <v>54</v>
      </c>
      <c r="E9" s="54" t="s">
        <v>200</v>
      </c>
      <c r="F9" s="56" t="s">
        <v>83</v>
      </c>
      <c r="G9" s="53">
        <v>2000</v>
      </c>
    </row>
    <row r="10" spans="1:12" x14ac:dyDescent="0.25">
      <c r="A10" s="54" t="s">
        <v>160</v>
      </c>
      <c r="B10" s="55">
        <v>43770</v>
      </c>
      <c r="C10" s="54" t="s">
        <v>16</v>
      </c>
      <c r="D10" s="54" t="s">
        <v>17</v>
      </c>
      <c r="E10" s="54" t="s">
        <v>200</v>
      </c>
      <c r="F10" s="56" t="s">
        <v>84</v>
      </c>
      <c r="G10" s="53">
        <v>75000</v>
      </c>
    </row>
    <row r="11" spans="1:12" x14ac:dyDescent="0.25">
      <c r="A11" s="54" t="s">
        <v>161</v>
      </c>
      <c r="B11" s="55">
        <v>43770</v>
      </c>
      <c r="C11" s="54" t="s">
        <v>16</v>
      </c>
      <c r="D11" s="54" t="s">
        <v>17</v>
      </c>
      <c r="E11" s="54" t="s">
        <v>200</v>
      </c>
      <c r="F11" s="56" t="s">
        <v>85</v>
      </c>
      <c r="G11" s="53">
        <v>18900</v>
      </c>
    </row>
    <row r="12" spans="1:12" ht="33" x14ac:dyDescent="0.25">
      <c r="A12" s="54" t="s">
        <v>162</v>
      </c>
      <c r="B12" s="55">
        <v>43770</v>
      </c>
      <c r="C12" s="54" t="s">
        <v>16</v>
      </c>
      <c r="D12" s="54" t="s">
        <v>53</v>
      </c>
      <c r="E12" s="54" t="s">
        <v>200</v>
      </c>
      <c r="F12" s="56" t="s">
        <v>86</v>
      </c>
      <c r="G12" s="53">
        <v>100000</v>
      </c>
    </row>
    <row r="13" spans="1:12" x14ac:dyDescent="0.25">
      <c r="A13" s="54" t="s">
        <v>162</v>
      </c>
      <c r="B13" s="55">
        <v>43831</v>
      </c>
      <c r="C13" s="54" t="s">
        <v>16</v>
      </c>
      <c r="D13" s="54" t="s">
        <v>56</v>
      </c>
      <c r="E13" s="54" t="s">
        <v>200</v>
      </c>
      <c r="F13" s="56" t="s">
        <v>87</v>
      </c>
      <c r="G13" s="53">
        <v>35000</v>
      </c>
    </row>
    <row r="14" spans="1:12" ht="33" x14ac:dyDescent="0.25">
      <c r="A14" s="54" t="s">
        <v>163</v>
      </c>
      <c r="B14" s="55">
        <v>43770</v>
      </c>
      <c r="C14" s="54" t="s">
        <v>16</v>
      </c>
      <c r="D14" s="54" t="s">
        <v>53</v>
      </c>
      <c r="E14" s="54" t="s">
        <v>200</v>
      </c>
      <c r="F14" s="56" t="s">
        <v>88</v>
      </c>
      <c r="G14" s="53">
        <v>105000</v>
      </c>
    </row>
    <row r="15" spans="1:12" ht="33" x14ac:dyDescent="0.25">
      <c r="A15" s="54" t="s">
        <v>164</v>
      </c>
      <c r="B15" s="55">
        <v>43800</v>
      </c>
      <c r="C15" s="54" t="s">
        <v>16</v>
      </c>
      <c r="D15" s="54" t="s">
        <v>26</v>
      </c>
      <c r="E15" s="54" t="s">
        <v>200</v>
      </c>
      <c r="F15" s="56" t="s">
        <v>89</v>
      </c>
      <c r="G15" s="53">
        <v>35000</v>
      </c>
    </row>
    <row r="16" spans="1:12" ht="33" x14ac:dyDescent="0.25">
      <c r="A16" s="54" t="s">
        <v>164</v>
      </c>
      <c r="B16" s="55">
        <v>43831</v>
      </c>
      <c r="C16" s="54" t="s">
        <v>16</v>
      </c>
      <c r="D16" s="54" t="s">
        <v>56</v>
      </c>
      <c r="E16" s="54" t="s">
        <v>200</v>
      </c>
      <c r="F16" s="56" t="s">
        <v>90</v>
      </c>
      <c r="G16" s="53">
        <v>8900</v>
      </c>
    </row>
    <row r="17" spans="1:8" ht="33" x14ac:dyDescent="0.25">
      <c r="A17" s="54" t="s">
        <v>165</v>
      </c>
      <c r="B17" s="55">
        <v>43800</v>
      </c>
      <c r="C17" s="54" t="s">
        <v>16</v>
      </c>
      <c r="D17" s="54" t="s">
        <v>54</v>
      </c>
      <c r="E17" s="54" t="s">
        <v>200</v>
      </c>
      <c r="F17" s="56" t="s">
        <v>91</v>
      </c>
      <c r="G17" s="53">
        <v>30000</v>
      </c>
      <c r="H17" s="73"/>
    </row>
    <row r="18" spans="1:8" x14ac:dyDescent="0.25">
      <c r="A18" s="57" t="s">
        <v>165</v>
      </c>
      <c r="B18" s="58">
        <v>43831</v>
      </c>
      <c r="C18" s="54" t="s">
        <v>16</v>
      </c>
      <c r="D18" s="54" t="s">
        <v>56</v>
      </c>
      <c r="E18" s="54" t="s">
        <v>200</v>
      </c>
      <c r="F18" s="59" t="s">
        <v>87</v>
      </c>
      <c r="G18" s="42">
        <v>3100</v>
      </c>
      <c r="H18" s="73"/>
    </row>
    <row r="19" spans="1:8" x14ac:dyDescent="0.25">
      <c r="A19" s="57" t="s">
        <v>166</v>
      </c>
      <c r="B19" s="58">
        <v>43831</v>
      </c>
      <c r="C19" s="54" t="s">
        <v>16</v>
      </c>
      <c r="D19" s="54" t="s">
        <v>20</v>
      </c>
      <c r="E19" s="54" t="s">
        <v>200</v>
      </c>
      <c r="F19" s="59" t="s">
        <v>276</v>
      </c>
      <c r="G19" s="42">
        <v>4900</v>
      </c>
      <c r="H19" s="73"/>
    </row>
    <row r="20" spans="1:8" ht="33" x14ac:dyDescent="0.25">
      <c r="A20" s="57" t="s">
        <v>167</v>
      </c>
      <c r="B20" s="58">
        <v>43831</v>
      </c>
      <c r="C20" s="54" t="s">
        <v>16</v>
      </c>
      <c r="D20" s="57" t="s">
        <v>56</v>
      </c>
      <c r="E20" s="54" t="s">
        <v>200</v>
      </c>
      <c r="F20" s="59" t="s">
        <v>92</v>
      </c>
      <c r="G20" s="42">
        <v>11671</v>
      </c>
      <c r="H20" s="73"/>
    </row>
    <row r="21" spans="1:8" ht="33" x14ac:dyDescent="0.25">
      <c r="A21" s="57" t="s">
        <v>167</v>
      </c>
      <c r="B21" s="58">
        <v>43831</v>
      </c>
      <c r="C21" s="54" t="s">
        <v>16</v>
      </c>
      <c r="D21" s="57" t="s">
        <v>56</v>
      </c>
      <c r="E21" s="54" t="s">
        <v>200</v>
      </c>
      <c r="F21" s="59" t="s">
        <v>93</v>
      </c>
      <c r="G21" s="42">
        <v>1650</v>
      </c>
      <c r="H21" s="73"/>
    </row>
    <row r="22" spans="1:8" ht="33" x14ac:dyDescent="0.25">
      <c r="A22" s="57" t="s">
        <v>167</v>
      </c>
      <c r="B22" s="58">
        <v>43831</v>
      </c>
      <c r="C22" s="54" t="s">
        <v>16</v>
      </c>
      <c r="D22" s="57" t="s">
        <v>56</v>
      </c>
      <c r="E22" s="54" t="s">
        <v>200</v>
      </c>
      <c r="F22" s="59" t="s">
        <v>94</v>
      </c>
      <c r="G22" s="42">
        <v>1220</v>
      </c>
      <c r="H22" s="73"/>
    </row>
    <row r="23" spans="1:8" ht="33" x14ac:dyDescent="0.25">
      <c r="A23" s="57" t="s">
        <v>167</v>
      </c>
      <c r="B23" s="58">
        <v>43862</v>
      </c>
      <c r="C23" s="54" t="s">
        <v>16</v>
      </c>
      <c r="D23" s="57" t="s">
        <v>56</v>
      </c>
      <c r="E23" s="54" t="s">
        <v>200</v>
      </c>
      <c r="F23" s="59" t="s">
        <v>95</v>
      </c>
      <c r="G23" s="42">
        <v>19330</v>
      </c>
      <c r="H23" s="73"/>
    </row>
    <row r="24" spans="1:8" x14ac:dyDescent="0.25">
      <c r="A24" s="57" t="s">
        <v>168</v>
      </c>
      <c r="B24" s="58">
        <v>43831</v>
      </c>
      <c r="C24" s="54" t="s">
        <v>16</v>
      </c>
      <c r="D24" s="57" t="s">
        <v>54</v>
      </c>
      <c r="E24" s="54" t="s">
        <v>200</v>
      </c>
      <c r="F24" s="59" t="s">
        <v>96</v>
      </c>
      <c r="G24" s="42">
        <v>16500</v>
      </c>
      <c r="H24" s="73"/>
    </row>
    <row r="25" spans="1:8" ht="33" x14ac:dyDescent="0.25">
      <c r="A25" s="57" t="s">
        <v>168</v>
      </c>
      <c r="B25" s="58">
        <v>43831</v>
      </c>
      <c r="C25" s="54" t="s">
        <v>16</v>
      </c>
      <c r="D25" s="57" t="s">
        <v>54</v>
      </c>
      <c r="E25" s="54" t="s">
        <v>200</v>
      </c>
      <c r="F25" s="59" t="s">
        <v>97</v>
      </c>
      <c r="G25" s="42">
        <v>10000</v>
      </c>
      <c r="H25" s="73"/>
    </row>
    <row r="26" spans="1:8" x14ac:dyDescent="0.25">
      <c r="A26" s="54" t="s">
        <v>169</v>
      </c>
      <c r="B26" s="58">
        <v>43831</v>
      </c>
      <c r="C26" s="54" t="s">
        <v>16</v>
      </c>
      <c r="D26" s="54" t="s">
        <v>25</v>
      </c>
      <c r="E26" s="54" t="s">
        <v>200</v>
      </c>
      <c r="F26" s="59" t="s">
        <v>98</v>
      </c>
      <c r="G26" s="42">
        <v>22500</v>
      </c>
      <c r="H26" s="73"/>
    </row>
    <row r="27" spans="1:8" x14ac:dyDescent="0.25">
      <c r="A27" s="54" t="s">
        <v>169</v>
      </c>
      <c r="B27" s="55">
        <v>43831</v>
      </c>
      <c r="C27" s="54" t="s">
        <v>16</v>
      </c>
      <c r="D27" s="54" t="s">
        <v>25</v>
      </c>
      <c r="E27" s="54" t="s">
        <v>200</v>
      </c>
      <c r="F27" s="56" t="s">
        <v>99</v>
      </c>
      <c r="G27" s="53">
        <v>12500</v>
      </c>
      <c r="H27" s="73"/>
    </row>
    <row r="28" spans="1:8" x14ac:dyDescent="0.25">
      <c r="A28" s="54" t="s">
        <v>169</v>
      </c>
      <c r="B28" s="55">
        <v>43831</v>
      </c>
      <c r="C28" s="54" t="s">
        <v>16</v>
      </c>
      <c r="D28" s="54" t="s">
        <v>25</v>
      </c>
      <c r="E28" s="54" t="s">
        <v>200</v>
      </c>
      <c r="F28" s="56" t="s">
        <v>100</v>
      </c>
      <c r="G28" s="53">
        <v>12500</v>
      </c>
      <c r="H28" s="73"/>
    </row>
    <row r="29" spans="1:8" x14ac:dyDescent="0.25">
      <c r="A29" s="54" t="s">
        <v>169</v>
      </c>
      <c r="B29" s="55">
        <v>43831</v>
      </c>
      <c r="C29" s="54" t="s">
        <v>16</v>
      </c>
      <c r="D29" s="54" t="s">
        <v>25</v>
      </c>
      <c r="E29" s="54" t="s">
        <v>200</v>
      </c>
      <c r="F29" s="56" t="s">
        <v>101</v>
      </c>
      <c r="G29" s="53">
        <v>11000</v>
      </c>
      <c r="H29" s="73"/>
    </row>
    <row r="30" spans="1:8" x14ac:dyDescent="0.25">
      <c r="A30" s="54" t="s">
        <v>169</v>
      </c>
      <c r="B30" s="55">
        <v>43862</v>
      </c>
      <c r="C30" s="54" t="s">
        <v>16</v>
      </c>
      <c r="D30" s="54" t="s">
        <v>25</v>
      </c>
      <c r="E30" s="54" t="s">
        <v>200</v>
      </c>
      <c r="F30" s="56" t="s">
        <v>102</v>
      </c>
      <c r="G30" s="53">
        <v>12500</v>
      </c>
      <c r="H30" s="73"/>
    </row>
    <row r="31" spans="1:8" x14ac:dyDescent="0.25">
      <c r="A31" s="54" t="s">
        <v>169</v>
      </c>
      <c r="B31" s="55">
        <v>43862</v>
      </c>
      <c r="C31" s="54" t="s">
        <v>16</v>
      </c>
      <c r="D31" s="54" t="s">
        <v>25</v>
      </c>
      <c r="E31" s="54" t="s">
        <v>200</v>
      </c>
      <c r="F31" s="56" t="s">
        <v>103</v>
      </c>
      <c r="G31" s="53">
        <v>11000</v>
      </c>
      <c r="H31" s="73"/>
    </row>
    <row r="32" spans="1:8" ht="33" x14ac:dyDescent="0.25">
      <c r="A32" s="54" t="s">
        <v>170</v>
      </c>
      <c r="B32" s="55">
        <v>43831</v>
      </c>
      <c r="C32" s="54" t="s">
        <v>16</v>
      </c>
      <c r="D32" s="54" t="s">
        <v>54</v>
      </c>
      <c r="E32" s="54" t="s">
        <v>200</v>
      </c>
      <c r="F32" s="56" t="s">
        <v>104</v>
      </c>
      <c r="G32" s="53">
        <v>5000</v>
      </c>
      <c r="H32" s="73"/>
    </row>
    <row r="33" spans="1:8" x14ac:dyDescent="0.25">
      <c r="A33" s="54" t="s">
        <v>170</v>
      </c>
      <c r="B33" s="55">
        <v>43862</v>
      </c>
      <c r="C33" s="54" t="s">
        <v>16</v>
      </c>
      <c r="D33" s="54" t="s">
        <v>56</v>
      </c>
      <c r="E33" s="54" t="s">
        <v>200</v>
      </c>
      <c r="F33" s="56" t="s">
        <v>105</v>
      </c>
      <c r="G33" s="53">
        <v>6230</v>
      </c>
      <c r="H33" s="73"/>
    </row>
    <row r="34" spans="1:8" ht="33" x14ac:dyDescent="0.25">
      <c r="A34" s="54" t="s">
        <v>171</v>
      </c>
      <c r="B34" s="55">
        <v>43862</v>
      </c>
      <c r="C34" s="54" t="s">
        <v>16</v>
      </c>
      <c r="D34" s="54" t="s">
        <v>56</v>
      </c>
      <c r="E34" s="54" t="s">
        <v>200</v>
      </c>
      <c r="F34" s="56" t="s">
        <v>106</v>
      </c>
      <c r="G34" s="53">
        <v>22100</v>
      </c>
      <c r="H34" s="73"/>
    </row>
    <row r="35" spans="1:8" ht="33" x14ac:dyDescent="0.25">
      <c r="A35" s="54" t="s">
        <v>171</v>
      </c>
      <c r="B35" s="55">
        <v>43862</v>
      </c>
      <c r="C35" s="54" t="s">
        <v>16</v>
      </c>
      <c r="D35" s="54" t="s">
        <v>56</v>
      </c>
      <c r="E35" s="54" t="s">
        <v>200</v>
      </c>
      <c r="F35" s="56" t="s">
        <v>107</v>
      </c>
      <c r="G35" s="53">
        <v>1990</v>
      </c>
      <c r="H35" s="73"/>
    </row>
    <row r="36" spans="1:8" ht="33" x14ac:dyDescent="0.25">
      <c r="A36" s="54" t="s">
        <v>171</v>
      </c>
      <c r="B36" s="55">
        <v>43862</v>
      </c>
      <c r="C36" s="54" t="s">
        <v>16</v>
      </c>
      <c r="D36" s="54" t="s">
        <v>56</v>
      </c>
      <c r="E36" s="54" t="s">
        <v>200</v>
      </c>
      <c r="F36" s="56" t="s">
        <v>108</v>
      </c>
      <c r="G36" s="53">
        <v>4300</v>
      </c>
      <c r="H36" s="73"/>
    </row>
    <row r="37" spans="1:8" ht="33" x14ac:dyDescent="0.25">
      <c r="A37" s="54" t="s">
        <v>171</v>
      </c>
      <c r="B37" s="55">
        <v>43831</v>
      </c>
      <c r="C37" s="54" t="s">
        <v>16</v>
      </c>
      <c r="D37" s="54" t="s">
        <v>28</v>
      </c>
      <c r="E37" s="54" t="s">
        <v>200</v>
      </c>
      <c r="F37" s="56" t="s">
        <v>109</v>
      </c>
      <c r="G37" s="53">
        <v>18068</v>
      </c>
      <c r="H37" s="73"/>
    </row>
    <row r="38" spans="1:8" x14ac:dyDescent="0.25">
      <c r="A38" s="54" t="s">
        <v>172</v>
      </c>
      <c r="B38" s="55">
        <v>43831</v>
      </c>
      <c r="C38" s="54" t="s">
        <v>16</v>
      </c>
      <c r="D38" s="54" t="s">
        <v>28</v>
      </c>
      <c r="E38" s="54" t="s">
        <v>200</v>
      </c>
      <c r="F38" s="56" t="s">
        <v>110</v>
      </c>
      <c r="G38" s="53">
        <v>7300</v>
      </c>
      <c r="H38" s="73"/>
    </row>
    <row r="39" spans="1:8" ht="33" x14ac:dyDescent="0.25">
      <c r="A39" s="54" t="s">
        <v>173</v>
      </c>
      <c r="B39" s="55">
        <v>43862</v>
      </c>
      <c r="C39" s="54" t="s">
        <v>16</v>
      </c>
      <c r="D39" s="54" t="s">
        <v>56</v>
      </c>
      <c r="E39" s="54" t="s">
        <v>200</v>
      </c>
      <c r="F39" s="56" t="s">
        <v>111</v>
      </c>
      <c r="G39" s="53">
        <v>5809</v>
      </c>
      <c r="H39" s="73"/>
    </row>
    <row r="40" spans="1:8" ht="33" x14ac:dyDescent="0.25">
      <c r="A40" s="54" t="s">
        <v>173</v>
      </c>
      <c r="B40" s="55">
        <v>43862</v>
      </c>
      <c r="C40" s="54" t="s">
        <v>16</v>
      </c>
      <c r="D40" s="54" t="s">
        <v>56</v>
      </c>
      <c r="E40" s="54" t="s">
        <v>200</v>
      </c>
      <c r="F40" s="56" t="s">
        <v>112</v>
      </c>
      <c r="G40" s="53">
        <v>4790</v>
      </c>
      <c r="H40" s="73"/>
    </row>
    <row r="41" spans="1:8" ht="33" x14ac:dyDescent="0.25">
      <c r="A41" s="54" t="s">
        <v>173</v>
      </c>
      <c r="B41" s="55">
        <v>43862</v>
      </c>
      <c r="C41" s="54" t="s">
        <v>16</v>
      </c>
      <c r="D41" s="54" t="s">
        <v>56</v>
      </c>
      <c r="E41" s="54" t="s">
        <v>200</v>
      </c>
      <c r="F41" s="56" t="s">
        <v>113</v>
      </c>
      <c r="G41" s="53">
        <v>6995</v>
      </c>
      <c r="H41" s="73"/>
    </row>
    <row r="42" spans="1:8" ht="33" x14ac:dyDescent="0.25">
      <c r="A42" s="54" t="s">
        <v>173</v>
      </c>
      <c r="B42" s="55">
        <v>43831</v>
      </c>
      <c r="C42" s="54" t="s">
        <v>16</v>
      </c>
      <c r="D42" s="54" t="s">
        <v>54</v>
      </c>
      <c r="E42" s="54" t="s">
        <v>200</v>
      </c>
      <c r="F42" s="56" t="s">
        <v>114</v>
      </c>
      <c r="G42" s="53">
        <v>50000</v>
      </c>
      <c r="H42" s="73"/>
    </row>
    <row r="43" spans="1:8" ht="33" x14ac:dyDescent="0.25">
      <c r="A43" s="54" t="s">
        <v>174</v>
      </c>
      <c r="B43" s="55">
        <v>43831</v>
      </c>
      <c r="C43" s="54" t="s">
        <v>16</v>
      </c>
      <c r="D43" s="54" t="s">
        <v>26</v>
      </c>
      <c r="E43" s="54" t="s">
        <v>200</v>
      </c>
      <c r="F43" s="56" t="s">
        <v>115</v>
      </c>
      <c r="G43" s="53">
        <v>35000</v>
      </c>
      <c r="H43" s="73"/>
    </row>
    <row r="44" spans="1:8" x14ac:dyDescent="0.25">
      <c r="A44" s="54" t="s">
        <v>174</v>
      </c>
      <c r="B44" s="55">
        <v>43862</v>
      </c>
      <c r="C44" s="54" t="s">
        <v>16</v>
      </c>
      <c r="D44" s="54" t="s">
        <v>25</v>
      </c>
      <c r="E44" s="54" t="s">
        <v>200</v>
      </c>
      <c r="F44" s="56" t="s">
        <v>102</v>
      </c>
      <c r="G44" s="53">
        <v>12500</v>
      </c>
      <c r="H44" s="73"/>
    </row>
    <row r="45" spans="1:8" x14ac:dyDescent="0.25">
      <c r="A45" s="54" t="s">
        <v>174</v>
      </c>
      <c r="B45" s="55">
        <v>43862</v>
      </c>
      <c r="C45" s="54" t="s">
        <v>16</v>
      </c>
      <c r="D45" s="54" t="s">
        <v>25</v>
      </c>
      <c r="E45" s="54" t="s">
        <v>200</v>
      </c>
      <c r="F45" s="56" t="s">
        <v>103</v>
      </c>
      <c r="G45" s="53">
        <v>11000</v>
      </c>
      <c r="H45" s="73"/>
    </row>
    <row r="46" spans="1:8" x14ac:dyDescent="0.25">
      <c r="A46" s="57" t="s">
        <v>174</v>
      </c>
      <c r="B46" s="58">
        <v>43862</v>
      </c>
      <c r="C46" s="54" t="s">
        <v>16</v>
      </c>
      <c r="D46" s="57" t="s">
        <v>25</v>
      </c>
      <c r="E46" s="54" t="s">
        <v>200</v>
      </c>
      <c r="F46" s="56" t="s">
        <v>116</v>
      </c>
      <c r="G46" s="53">
        <v>18200</v>
      </c>
      <c r="H46" s="73"/>
    </row>
    <row r="47" spans="1:8" ht="33" x14ac:dyDescent="0.25">
      <c r="A47" s="54" t="s">
        <v>175</v>
      </c>
      <c r="B47" s="55">
        <v>43862</v>
      </c>
      <c r="C47" s="54" t="s">
        <v>16</v>
      </c>
      <c r="D47" s="54" t="s">
        <v>56</v>
      </c>
      <c r="E47" s="54" t="s">
        <v>200</v>
      </c>
      <c r="F47" s="56" t="s">
        <v>117</v>
      </c>
      <c r="G47" s="53">
        <v>6435</v>
      </c>
      <c r="H47" s="73"/>
    </row>
    <row r="48" spans="1:8" ht="33" x14ac:dyDescent="0.25">
      <c r="A48" s="54" t="s">
        <v>175</v>
      </c>
      <c r="B48" s="55">
        <v>43862</v>
      </c>
      <c r="C48" s="54" t="s">
        <v>16</v>
      </c>
      <c r="D48" s="54" t="s">
        <v>56</v>
      </c>
      <c r="E48" s="54" t="s">
        <v>200</v>
      </c>
      <c r="F48" s="56" t="s">
        <v>118</v>
      </c>
      <c r="G48" s="53">
        <v>12000</v>
      </c>
      <c r="H48" s="73"/>
    </row>
    <row r="49" spans="1:8" ht="33" x14ac:dyDescent="0.25">
      <c r="A49" s="57" t="s">
        <v>175</v>
      </c>
      <c r="B49" s="58">
        <v>43862</v>
      </c>
      <c r="C49" s="54" t="s">
        <v>16</v>
      </c>
      <c r="D49" s="57" t="s">
        <v>56</v>
      </c>
      <c r="E49" s="54" t="s">
        <v>200</v>
      </c>
      <c r="F49" s="59" t="s">
        <v>119</v>
      </c>
      <c r="G49" s="42">
        <v>3020</v>
      </c>
      <c r="H49" s="73"/>
    </row>
    <row r="50" spans="1:8" ht="33" x14ac:dyDescent="0.25">
      <c r="A50" s="54" t="s">
        <v>175</v>
      </c>
      <c r="B50" s="55">
        <v>43862</v>
      </c>
      <c r="C50" s="54" t="s">
        <v>16</v>
      </c>
      <c r="D50" s="54" t="s">
        <v>56</v>
      </c>
      <c r="E50" s="54" t="s">
        <v>200</v>
      </c>
      <c r="F50" s="56" t="s">
        <v>120</v>
      </c>
      <c r="G50" s="53">
        <v>8038</v>
      </c>
      <c r="H50" s="106">
        <v>855</v>
      </c>
    </row>
    <row r="51" spans="1:8" x14ac:dyDescent="0.25">
      <c r="A51" s="104" t="s">
        <v>174</v>
      </c>
      <c r="B51" s="98">
        <v>43862</v>
      </c>
      <c r="C51" s="104" t="s">
        <v>16</v>
      </c>
      <c r="D51" s="104" t="s">
        <v>20</v>
      </c>
      <c r="E51" s="104" t="s">
        <v>200</v>
      </c>
      <c r="F51" s="105" t="s">
        <v>276</v>
      </c>
      <c r="G51" s="106"/>
      <c r="H51" s="106">
        <v>70772</v>
      </c>
    </row>
    <row r="52" spans="1:8" x14ac:dyDescent="0.25">
      <c r="A52" s="104" t="s">
        <v>176</v>
      </c>
      <c r="B52" s="98">
        <v>43862</v>
      </c>
      <c r="C52" s="104" t="s">
        <v>16</v>
      </c>
      <c r="D52" s="104" t="s">
        <v>25</v>
      </c>
      <c r="E52" s="104" t="s">
        <v>200</v>
      </c>
      <c r="F52" s="105" t="s">
        <v>121</v>
      </c>
      <c r="G52" s="106"/>
      <c r="H52" s="106">
        <v>6000</v>
      </c>
    </row>
    <row r="53" spans="1:8" x14ac:dyDescent="0.25">
      <c r="A53" s="101" t="s">
        <v>177</v>
      </c>
      <c r="B53" s="107">
        <v>43862</v>
      </c>
      <c r="C53" s="104" t="s">
        <v>16</v>
      </c>
      <c r="D53" s="101" t="s">
        <v>21</v>
      </c>
      <c r="E53" s="104" t="s">
        <v>200</v>
      </c>
      <c r="F53" s="102" t="s">
        <v>122</v>
      </c>
      <c r="G53" s="106"/>
      <c r="H53" s="103">
        <v>12830</v>
      </c>
    </row>
    <row r="54" spans="1:8" x14ac:dyDescent="0.25">
      <c r="A54" s="104" t="s">
        <v>178</v>
      </c>
      <c r="B54" s="98">
        <v>43831</v>
      </c>
      <c r="C54" s="104" t="s">
        <v>16</v>
      </c>
      <c r="D54" s="104" t="s">
        <v>53</v>
      </c>
      <c r="E54" s="104" t="s">
        <v>200</v>
      </c>
      <c r="F54" s="105" t="s">
        <v>123</v>
      </c>
      <c r="G54" s="106"/>
      <c r="H54" s="106">
        <v>25800</v>
      </c>
    </row>
    <row r="55" spans="1:8" x14ac:dyDescent="0.25">
      <c r="A55" s="101" t="s">
        <v>179</v>
      </c>
      <c r="B55" s="107">
        <v>43831</v>
      </c>
      <c r="C55" s="104" t="s">
        <v>16</v>
      </c>
      <c r="D55" s="101" t="s">
        <v>26</v>
      </c>
      <c r="E55" s="104" t="s">
        <v>200</v>
      </c>
      <c r="F55" s="102" t="s">
        <v>124</v>
      </c>
      <c r="G55" s="106"/>
      <c r="H55" s="103">
        <v>35000</v>
      </c>
    </row>
    <row r="56" spans="1:8" ht="33" x14ac:dyDescent="0.25">
      <c r="A56" s="101" t="s">
        <v>179</v>
      </c>
      <c r="B56" s="107">
        <v>43891</v>
      </c>
      <c r="C56" s="104" t="s">
        <v>16</v>
      </c>
      <c r="D56" s="101" t="s">
        <v>56</v>
      </c>
      <c r="E56" s="104" t="s">
        <v>200</v>
      </c>
      <c r="F56" s="102" t="s">
        <v>125</v>
      </c>
      <c r="G56" s="106"/>
      <c r="H56" s="103">
        <v>1960</v>
      </c>
    </row>
    <row r="57" spans="1:8" ht="33" x14ac:dyDescent="0.25">
      <c r="A57" s="104" t="s">
        <v>179</v>
      </c>
      <c r="B57" s="98">
        <v>43891</v>
      </c>
      <c r="C57" s="104" t="s">
        <v>16</v>
      </c>
      <c r="D57" s="104" t="s">
        <v>56</v>
      </c>
      <c r="E57" s="104" t="s">
        <v>200</v>
      </c>
      <c r="F57" s="105" t="s">
        <v>126</v>
      </c>
      <c r="G57" s="106"/>
      <c r="H57" s="106">
        <v>1415</v>
      </c>
    </row>
    <row r="58" spans="1:8" ht="33" x14ac:dyDescent="0.25">
      <c r="A58" s="104" t="s">
        <v>179</v>
      </c>
      <c r="B58" s="98">
        <v>43891</v>
      </c>
      <c r="C58" s="104" t="s">
        <v>16</v>
      </c>
      <c r="D58" s="104" t="s">
        <v>56</v>
      </c>
      <c r="E58" s="104" t="s">
        <v>200</v>
      </c>
      <c r="F58" s="105" t="s">
        <v>127</v>
      </c>
      <c r="G58" s="106"/>
      <c r="H58" s="106">
        <v>7780</v>
      </c>
    </row>
    <row r="59" spans="1:8" x14ac:dyDescent="0.25">
      <c r="A59" s="104" t="s">
        <v>180</v>
      </c>
      <c r="B59" s="98">
        <v>43862</v>
      </c>
      <c r="C59" s="104" t="s">
        <v>16</v>
      </c>
      <c r="D59" s="104" t="s">
        <v>25</v>
      </c>
      <c r="E59" s="104" t="s">
        <v>200</v>
      </c>
      <c r="F59" s="105" t="s">
        <v>128</v>
      </c>
      <c r="G59" s="106"/>
      <c r="H59" s="106">
        <v>15000</v>
      </c>
    </row>
    <row r="60" spans="1:8" ht="33" x14ac:dyDescent="0.25">
      <c r="A60" s="104" t="s">
        <v>181</v>
      </c>
      <c r="B60" s="98">
        <v>43831</v>
      </c>
      <c r="C60" s="104" t="s">
        <v>16</v>
      </c>
      <c r="D60" s="104" t="s">
        <v>17</v>
      </c>
      <c r="E60" s="104" t="s">
        <v>200</v>
      </c>
      <c r="F60" s="105" t="s">
        <v>129</v>
      </c>
      <c r="G60" s="106"/>
      <c r="H60" s="106">
        <v>50000</v>
      </c>
    </row>
    <row r="61" spans="1:8" ht="33" x14ac:dyDescent="0.25">
      <c r="A61" s="101" t="s">
        <v>182</v>
      </c>
      <c r="B61" s="107">
        <v>43831</v>
      </c>
      <c r="C61" s="104" t="s">
        <v>16</v>
      </c>
      <c r="D61" s="101" t="s">
        <v>26</v>
      </c>
      <c r="E61" s="104" t="s">
        <v>200</v>
      </c>
      <c r="F61" s="105" t="s">
        <v>130</v>
      </c>
      <c r="G61" s="106"/>
      <c r="H61" s="106">
        <v>10960</v>
      </c>
    </row>
    <row r="62" spans="1:8" ht="33" x14ac:dyDescent="0.25">
      <c r="A62" s="101" t="s">
        <v>182</v>
      </c>
      <c r="B62" s="107">
        <v>43831</v>
      </c>
      <c r="C62" s="104" t="s">
        <v>16</v>
      </c>
      <c r="D62" s="101" t="s">
        <v>26</v>
      </c>
      <c r="E62" s="104" t="s">
        <v>200</v>
      </c>
      <c r="F62" s="105" t="s">
        <v>131</v>
      </c>
      <c r="G62" s="106"/>
      <c r="H62" s="106">
        <v>2600</v>
      </c>
    </row>
    <row r="63" spans="1:8" ht="33" x14ac:dyDescent="0.25">
      <c r="A63" s="101" t="s">
        <v>183</v>
      </c>
      <c r="B63" s="107">
        <v>43891</v>
      </c>
      <c r="C63" s="104" t="s">
        <v>16</v>
      </c>
      <c r="D63" s="101" t="s">
        <v>56</v>
      </c>
      <c r="E63" s="104" t="s">
        <v>200</v>
      </c>
      <c r="F63" s="105" t="s">
        <v>132</v>
      </c>
      <c r="G63" s="106"/>
      <c r="H63" s="106">
        <v>11450</v>
      </c>
    </row>
    <row r="64" spans="1:8" ht="33" x14ac:dyDescent="0.25">
      <c r="A64" s="101" t="s">
        <v>183</v>
      </c>
      <c r="B64" s="107">
        <v>43891</v>
      </c>
      <c r="C64" s="104" t="s">
        <v>16</v>
      </c>
      <c r="D64" s="101" t="s">
        <v>56</v>
      </c>
      <c r="E64" s="104" t="s">
        <v>200</v>
      </c>
      <c r="F64" s="105" t="s">
        <v>133</v>
      </c>
      <c r="G64" s="106"/>
      <c r="H64" s="106">
        <v>18500</v>
      </c>
    </row>
    <row r="65" spans="1:8" x14ac:dyDescent="0.25">
      <c r="A65" s="101" t="s">
        <v>183</v>
      </c>
      <c r="B65" s="98">
        <v>43831</v>
      </c>
      <c r="C65" s="104" t="s">
        <v>16</v>
      </c>
      <c r="D65" s="104" t="s">
        <v>22</v>
      </c>
      <c r="E65" s="104" t="s">
        <v>200</v>
      </c>
      <c r="F65" s="105" t="s">
        <v>134</v>
      </c>
      <c r="G65" s="106"/>
      <c r="H65" s="106">
        <v>41000</v>
      </c>
    </row>
    <row r="66" spans="1:8" ht="33" x14ac:dyDescent="0.25">
      <c r="A66" s="101" t="s">
        <v>184</v>
      </c>
      <c r="B66" s="98">
        <v>43831</v>
      </c>
      <c r="C66" s="104" t="s">
        <v>16</v>
      </c>
      <c r="D66" s="104" t="s">
        <v>22</v>
      </c>
      <c r="E66" s="104" t="s">
        <v>200</v>
      </c>
      <c r="F66" s="105" t="s">
        <v>135</v>
      </c>
      <c r="G66" s="106"/>
      <c r="H66" s="106">
        <v>22740</v>
      </c>
    </row>
    <row r="67" spans="1:8" x14ac:dyDescent="0.25">
      <c r="A67" s="104" t="s">
        <v>185</v>
      </c>
      <c r="B67" s="98">
        <v>43891</v>
      </c>
      <c r="C67" s="104" t="s">
        <v>16</v>
      </c>
      <c r="D67" s="104" t="s">
        <v>25</v>
      </c>
      <c r="E67" s="104" t="s">
        <v>200</v>
      </c>
      <c r="F67" s="105" t="s">
        <v>136</v>
      </c>
      <c r="G67" s="106"/>
      <c r="H67" s="106">
        <v>50000</v>
      </c>
    </row>
    <row r="68" spans="1:8" x14ac:dyDescent="0.25">
      <c r="A68" s="101" t="s">
        <v>185</v>
      </c>
      <c r="B68" s="107">
        <v>43891</v>
      </c>
      <c r="C68" s="104" t="s">
        <v>16</v>
      </c>
      <c r="D68" s="101" t="s">
        <v>25</v>
      </c>
      <c r="E68" s="104" t="s">
        <v>200</v>
      </c>
      <c r="F68" s="102" t="s">
        <v>137</v>
      </c>
      <c r="G68" s="106"/>
      <c r="H68" s="103">
        <v>25000</v>
      </c>
    </row>
    <row r="69" spans="1:8" x14ac:dyDescent="0.25">
      <c r="A69" s="101" t="s">
        <v>185</v>
      </c>
      <c r="B69" s="107">
        <v>43891</v>
      </c>
      <c r="C69" s="104" t="s">
        <v>16</v>
      </c>
      <c r="D69" s="101" t="s">
        <v>25</v>
      </c>
      <c r="E69" s="104" t="s">
        <v>200</v>
      </c>
      <c r="F69" s="102" t="s">
        <v>138</v>
      </c>
      <c r="G69" s="106"/>
      <c r="H69" s="103">
        <v>22000</v>
      </c>
    </row>
    <row r="70" spans="1:8" ht="33" x14ac:dyDescent="0.25">
      <c r="A70" s="101" t="s">
        <v>185</v>
      </c>
      <c r="B70" s="107">
        <v>43891</v>
      </c>
      <c r="C70" s="104" t="s">
        <v>16</v>
      </c>
      <c r="D70" s="101" t="s">
        <v>25</v>
      </c>
      <c r="E70" s="104" t="s">
        <v>200</v>
      </c>
      <c r="F70" s="102" t="s">
        <v>139</v>
      </c>
      <c r="G70" s="106"/>
      <c r="H70" s="103">
        <v>23000</v>
      </c>
    </row>
    <row r="71" spans="1:8" ht="33" x14ac:dyDescent="0.25">
      <c r="A71" s="101" t="s">
        <v>185</v>
      </c>
      <c r="B71" s="107">
        <v>43862</v>
      </c>
      <c r="C71" s="104" t="s">
        <v>16</v>
      </c>
      <c r="D71" s="101" t="s">
        <v>26</v>
      </c>
      <c r="E71" s="104" t="s">
        <v>200</v>
      </c>
      <c r="F71" s="102" t="s">
        <v>140</v>
      </c>
      <c r="G71" s="106"/>
      <c r="H71" s="103">
        <v>35000</v>
      </c>
    </row>
    <row r="72" spans="1:8" ht="33" x14ac:dyDescent="0.25">
      <c r="A72" s="101" t="s">
        <v>185</v>
      </c>
      <c r="B72" s="107">
        <v>43891</v>
      </c>
      <c r="C72" s="104" t="s">
        <v>16</v>
      </c>
      <c r="D72" s="101" t="s">
        <v>56</v>
      </c>
      <c r="E72" s="104" t="s">
        <v>200</v>
      </c>
      <c r="F72" s="102" t="s">
        <v>141</v>
      </c>
      <c r="G72" s="106"/>
      <c r="H72" s="103">
        <v>13826</v>
      </c>
    </row>
    <row r="73" spans="1:8" x14ac:dyDescent="0.25">
      <c r="A73" s="101" t="s">
        <v>186</v>
      </c>
      <c r="B73" s="107">
        <v>43891</v>
      </c>
      <c r="C73" s="104" t="s">
        <v>16</v>
      </c>
      <c r="D73" s="101" t="s">
        <v>20</v>
      </c>
      <c r="E73" s="104" t="s">
        <v>200</v>
      </c>
      <c r="F73" s="102" t="s">
        <v>276</v>
      </c>
      <c r="G73" s="106"/>
      <c r="H73" s="103">
        <v>90828</v>
      </c>
    </row>
    <row r="74" spans="1:8" x14ac:dyDescent="0.25">
      <c r="A74" s="101" t="s">
        <v>187</v>
      </c>
      <c r="B74" s="107">
        <v>43831</v>
      </c>
      <c r="C74" s="104" t="s">
        <v>16</v>
      </c>
      <c r="D74" s="101" t="s">
        <v>26</v>
      </c>
      <c r="E74" s="104" t="s">
        <v>200</v>
      </c>
      <c r="F74" s="102" t="s">
        <v>142</v>
      </c>
      <c r="G74" s="106"/>
      <c r="H74" s="103">
        <v>10000</v>
      </c>
    </row>
    <row r="75" spans="1:8" x14ac:dyDescent="0.25">
      <c r="A75" s="101" t="s">
        <v>188</v>
      </c>
      <c r="B75" s="107">
        <v>43922</v>
      </c>
      <c r="C75" s="104" t="s">
        <v>16</v>
      </c>
      <c r="D75" s="101" t="s">
        <v>21</v>
      </c>
      <c r="E75" s="104" t="s">
        <v>200</v>
      </c>
      <c r="F75" s="102" t="s">
        <v>297</v>
      </c>
      <c r="G75" s="106"/>
      <c r="H75" s="103">
        <v>25660</v>
      </c>
    </row>
    <row r="76" spans="1:8" ht="33" x14ac:dyDescent="0.25">
      <c r="A76" s="101" t="s">
        <v>189</v>
      </c>
      <c r="B76" s="107">
        <v>43922</v>
      </c>
      <c r="C76" s="104" t="s">
        <v>16</v>
      </c>
      <c r="D76" s="101" t="s">
        <v>56</v>
      </c>
      <c r="E76" s="104" t="s">
        <v>200</v>
      </c>
      <c r="F76" s="102" t="s">
        <v>143</v>
      </c>
      <c r="G76" s="106"/>
      <c r="H76" s="103">
        <v>11695</v>
      </c>
    </row>
    <row r="77" spans="1:8" x14ac:dyDescent="0.25">
      <c r="A77" s="101" t="s">
        <v>190</v>
      </c>
      <c r="B77" s="107">
        <v>43922</v>
      </c>
      <c r="C77" s="104" t="s">
        <v>16</v>
      </c>
      <c r="D77" s="101" t="s">
        <v>25</v>
      </c>
      <c r="E77" s="104" t="s">
        <v>200</v>
      </c>
      <c r="F77" s="102" t="s">
        <v>144</v>
      </c>
      <c r="G77" s="106"/>
      <c r="H77" s="103">
        <v>42000</v>
      </c>
    </row>
    <row r="78" spans="1:8" x14ac:dyDescent="0.25">
      <c r="A78" s="101" t="s">
        <v>190</v>
      </c>
      <c r="B78" s="107">
        <v>43922</v>
      </c>
      <c r="C78" s="104" t="s">
        <v>16</v>
      </c>
      <c r="D78" s="101" t="s">
        <v>25</v>
      </c>
      <c r="E78" s="104" t="s">
        <v>200</v>
      </c>
      <c r="F78" s="102" t="s">
        <v>144</v>
      </c>
      <c r="G78" s="106"/>
      <c r="H78" s="103">
        <v>8000</v>
      </c>
    </row>
    <row r="79" spans="1:8" x14ac:dyDescent="0.25">
      <c r="A79" s="101" t="s">
        <v>190</v>
      </c>
      <c r="B79" s="107">
        <v>43922</v>
      </c>
      <c r="C79" s="104" t="s">
        <v>16</v>
      </c>
      <c r="D79" s="101" t="s">
        <v>25</v>
      </c>
      <c r="E79" s="104" t="s">
        <v>200</v>
      </c>
      <c r="F79" s="102" t="s">
        <v>145</v>
      </c>
      <c r="G79" s="106"/>
      <c r="H79" s="103">
        <v>25000</v>
      </c>
    </row>
    <row r="80" spans="1:8" x14ac:dyDescent="0.25">
      <c r="A80" s="101" t="s">
        <v>190</v>
      </c>
      <c r="B80" s="107">
        <v>43922</v>
      </c>
      <c r="C80" s="104" t="s">
        <v>16</v>
      </c>
      <c r="D80" s="101" t="s">
        <v>25</v>
      </c>
      <c r="E80" s="104" t="s">
        <v>200</v>
      </c>
      <c r="F80" s="102" t="s">
        <v>146</v>
      </c>
      <c r="G80" s="106"/>
      <c r="H80" s="103">
        <v>22000</v>
      </c>
    </row>
    <row r="81" spans="1:8" x14ac:dyDescent="0.25">
      <c r="A81" s="101" t="s">
        <v>190</v>
      </c>
      <c r="B81" s="107">
        <v>43922</v>
      </c>
      <c r="C81" s="104" t="s">
        <v>16</v>
      </c>
      <c r="D81" s="101" t="s">
        <v>25</v>
      </c>
      <c r="E81" s="104" t="s">
        <v>200</v>
      </c>
      <c r="F81" s="102" t="s">
        <v>147</v>
      </c>
      <c r="G81" s="106"/>
      <c r="H81" s="103">
        <v>23000</v>
      </c>
    </row>
    <row r="82" spans="1:8" x14ac:dyDescent="0.25">
      <c r="A82" s="101" t="s">
        <v>191</v>
      </c>
      <c r="B82" s="107">
        <v>43922</v>
      </c>
      <c r="C82" s="104" t="s">
        <v>16</v>
      </c>
      <c r="D82" s="101" t="s">
        <v>20</v>
      </c>
      <c r="E82" s="104" t="s">
        <v>200</v>
      </c>
      <c r="F82" s="102" t="s">
        <v>276</v>
      </c>
      <c r="G82" s="106"/>
      <c r="H82" s="103">
        <v>15450</v>
      </c>
    </row>
    <row r="83" spans="1:8" x14ac:dyDescent="0.25">
      <c r="A83" s="101" t="s">
        <v>192</v>
      </c>
      <c r="B83" s="107">
        <v>43862</v>
      </c>
      <c r="C83" s="104" t="s">
        <v>16</v>
      </c>
      <c r="D83" s="101" t="s">
        <v>22</v>
      </c>
      <c r="E83" s="104" t="s">
        <v>200</v>
      </c>
      <c r="F83" s="102" t="s">
        <v>148</v>
      </c>
      <c r="G83" s="106"/>
      <c r="H83" s="103">
        <v>865</v>
      </c>
    </row>
    <row r="84" spans="1:8" x14ac:dyDescent="0.25">
      <c r="A84" s="101" t="s">
        <v>192</v>
      </c>
      <c r="B84" s="107">
        <v>43891</v>
      </c>
      <c r="C84" s="104" t="s">
        <v>16</v>
      </c>
      <c r="D84" s="101" t="s">
        <v>22</v>
      </c>
      <c r="E84" s="104" t="s">
        <v>200</v>
      </c>
      <c r="F84" s="102" t="s">
        <v>148</v>
      </c>
      <c r="G84" s="106"/>
      <c r="H84" s="103">
        <v>808</v>
      </c>
    </row>
    <row r="85" spans="1:8" x14ac:dyDescent="0.25">
      <c r="A85" s="101" t="s">
        <v>192</v>
      </c>
      <c r="B85" s="107">
        <v>43922</v>
      </c>
      <c r="C85" s="104" t="s">
        <v>16</v>
      </c>
      <c r="D85" s="101" t="s">
        <v>22</v>
      </c>
      <c r="E85" s="104" t="s">
        <v>200</v>
      </c>
      <c r="F85" s="102" t="s">
        <v>148</v>
      </c>
      <c r="G85" s="106"/>
      <c r="H85" s="103">
        <v>807</v>
      </c>
    </row>
    <row r="86" spans="1:8" x14ac:dyDescent="0.25">
      <c r="A86" s="101">
        <v>43831</v>
      </c>
      <c r="B86" s="107">
        <v>43831</v>
      </c>
      <c r="C86" s="104" t="s">
        <v>16</v>
      </c>
      <c r="D86" s="101" t="s">
        <v>18</v>
      </c>
      <c r="E86" s="104" t="s">
        <v>200</v>
      </c>
      <c r="F86" s="102" t="s">
        <v>234</v>
      </c>
      <c r="G86" s="106"/>
      <c r="H86" s="103">
        <v>50000</v>
      </c>
    </row>
    <row r="87" spans="1:8" x14ac:dyDescent="0.25">
      <c r="A87" s="101">
        <v>43862</v>
      </c>
      <c r="B87" s="107">
        <v>43862</v>
      </c>
      <c r="C87" s="104" t="s">
        <v>16</v>
      </c>
      <c r="D87" s="101" t="s">
        <v>18</v>
      </c>
      <c r="E87" s="104" t="s">
        <v>200</v>
      </c>
      <c r="F87" s="102" t="s">
        <v>233</v>
      </c>
      <c r="G87" s="106"/>
      <c r="H87" s="103">
        <v>50000</v>
      </c>
    </row>
    <row r="88" spans="1:8" x14ac:dyDescent="0.25">
      <c r="A88" s="101">
        <v>43891</v>
      </c>
      <c r="B88" s="107">
        <v>43891</v>
      </c>
      <c r="C88" s="104" t="s">
        <v>16</v>
      </c>
      <c r="D88" s="101" t="s">
        <v>18</v>
      </c>
      <c r="E88" s="104" t="s">
        <v>200</v>
      </c>
      <c r="F88" s="102" t="s">
        <v>235</v>
      </c>
      <c r="G88" s="106"/>
      <c r="H88" s="103">
        <v>50000</v>
      </c>
    </row>
    <row r="89" spans="1:8" x14ac:dyDescent="0.25">
      <c r="A89" s="101">
        <v>43922</v>
      </c>
      <c r="B89" s="107">
        <v>43922</v>
      </c>
      <c r="C89" s="104" t="s">
        <v>16</v>
      </c>
      <c r="D89" s="101" t="s">
        <v>18</v>
      </c>
      <c r="E89" s="104" t="s">
        <v>200</v>
      </c>
      <c r="F89" s="102" t="s">
        <v>236</v>
      </c>
      <c r="G89" s="106"/>
      <c r="H89" s="103">
        <v>50000</v>
      </c>
    </row>
    <row r="90" spans="1:8" x14ac:dyDescent="0.25">
      <c r="A90" s="101">
        <v>43891</v>
      </c>
      <c r="B90" s="107">
        <v>43891</v>
      </c>
      <c r="C90" s="104" t="s">
        <v>16</v>
      </c>
      <c r="D90" s="101" t="s">
        <v>21</v>
      </c>
      <c r="E90" s="104" t="s">
        <v>200</v>
      </c>
      <c r="F90" s="102" t="s">
        <v>199</v>
      </c>
      <c r="G90" s="106"/>
      <c r="H90" s="103">
        <v>50000</v>
      </c>
    </row>
    <row r="91" spans="1:8" x14ac:dyDescent="0.25">
      <c r="A91" s="101">
        <v>43922</v>
      </c>
      <c r="B91" s="107">
        <v>43922</v>
      </c>
      <c r="C91" s="104" t="s">
        <v>16</v>
      </c>
      <c r="D91" s="101" t="s">
        <v>21</v>
      </c>
      <c r="E91" s="104" t="s">
        <v>200</v>
      </c>
      <c r="F91" s="102" t="s">
        <v>199</v>
      </c>
      <c r="G91" s="106"/>
      <c r="H91" s="103">
        <v>50000</v>
      </c>
    </row>
    <row r="92" spans="1:8" x14ac:dyDescent="0.25">
      <c r="A92" s="57">
        <v>43985</v>
      </c>
      <c r="B92" s="58">
        <v>43952</v>
      </c>
      <c r="C92" s="54" t="s">
        <v>16</v>
      </c>
      <c r="D92" s="57" t="s">
        <v>21</v>
      </c>
      <c r="E92" s="54" t="s">
        <v>200</v>
      </c>
      <c r="F92" s="59" t="s">
        <v>122</v>
      </c>
      <c r="G92" s="42">
        <v>2930</v>
      </c>
      <c r="H92" s="73"/>
    </row>
    <row r="93" spans="1:8" x14ac:dyDescent="0.25">
      <c r="A93" s="57">
        <v>43987</v>
      </c>
      <c r="B93" s="58">
        <v>43952</v>
      </c>
      <c r="C93" s="54" t="s">
        <v>16</v>
      </c>
      <c r="D93" s="57" t="s">
        <v>25</v>
      </c>
      <c r="E93" s="54" t="s">
        <v>200</v>
      </c>
      <c r="F93" s="56" t="s">
        <v>205</v>
      </c>
      <c r="G93" s="53">
        <v>40000</v>
      </c>
      <c r="H93" s="73"/>
    </row>
    <row r="94" spans="1:8" x14ac:dyDescent="0.25">
      <c r="A94" s="57">
        <v>43987</v>
      </c>
      <c r="B94" s="58">
        <v>43952</v>
      </c>
      <c r="C94" s="57" t="s">
        <v>16</v>
      </c>
      <c r="D94" s="57" t="s">
        <v>25</v>
      </c>
      <c r="E94" s="57" t="s">
        <v>200</v>
      </c>
      <c r="F94" s="56" t="s">
        <v>206</v>
      </c>
      <c r="G94" s="53">
        <v>20000</v>
      </c>
      <c r="H94" s="73"/>
    </row>
    <row r="95" spans="1:8" x14ac:dyDescent="0.25">
      <c r="A95" s="57">
        <v>43987</v>
      </c>
      <c r="B95" s="58">
        <v>43952</v>
      </c>
      <c r="C95" s="57" t="s">
        <v>16</v>
      </c>
      <c r="D95" s="57" t="s">
        <v>25</v>
      </c>
      <c r="E95" s="57" t="s">
        <v>200</v>
      </c>
      <c r="F95" s="56" t="s">
        <v>207</v>
      </c>
      <c r="G95" s="53">
        <v>17600</v>
      </c>
      <c r="H95" s="73"/>
    </row>
    <row r="96" spans="1:8" x14ac:dyDescent="0.25">
      <c r="A96" s="57">
        <v>43987</v>
      </c>
      <c r="B96" s="58">
        <v>43952</v>
      </c>
      <c r="C96" s="57" t="s">
        <v>16</v>
      </c>
      <c r="D96" s="57" t="s">
        <v>25</v>
      </c>
      <c r="E96" s="57" t="s">
        <v>200</v>
      </c>
      <c r="F96" s="56" t="s">
        <v>208</v>
      </c>
      <c r="G96" s="53">
        <v>18400</v>
      </c>
    </row>
    <row r="97" spans="1:7" x14ac:dyDescent="0.25">
      <c r="A97" s="57">
        <v>43991</v>
      </c>
      <c r="B97" s="58">
        <v>43983</v>
      </c>
      <c r="C97" s="57" t="s">
        <v>16</v>
      </c>
      <c r="D97" s="57" t="s">
        <v>22</v>
      </c>
      <c r="E97" s="57" t="s">
        <v>200</v>
      </c>
      <c r="F97" s="56" t="s">
        <v>210</v>
      </c>
      <c r="G97" s="53">
        <v>4200</v>
      </c>
    </row>
    <row r="98" spans="1:7" ht="33" x14ac:dyDescent="0.25">
      <c r="A98" s="57">
        <v>43994</v>
      </c>
      <c r="B98" s="58">
        <v>43983</v>
      </c>
      <c r="C98" s="57" t="s">
        <v>16</v>
      </c>
      <c r="D98" s="57" t="s">
        <v>26</v>
      </c>
      <c r="E98" s="57" t="s">
        <v>200</v>
      </c>
      <c r="F98" s="59" t="s">
        <v>212</v>
      </c>
      <c r="G98" s="42">
        <v>11900</v>
      </c>
    </row>
    <row r="99" spans="1:7" x14ac:dyDescent="0.25">
      <c r="A99" s="57">
        <v>43995</v>
      </c>
      <c r="B99" s="58">
        <v>43952</v>
      </c>
      <c r="C99" s="54" t="s">
        <v>16</v>
      </c>
      <c r="D99" s="57" t="s">
        <v>21</v>
      </c>
      <c r="E99" s="54" t="s">
        <v>200</v>
      </c>
      <c r="F99" s="59" t="s">
        <v>199</v>
      </c>
      <c r="G99" s="42">
        <v>50000</v>
      </c>
    </row>
    <row r="100" spans="1:7" x14ac:dyDescent="0.25">
      <c r="A100" s="57">
        <v>43997</v>
      </c>
      <c r="B100" s="58">
        <v>43952</v>
      </c>
      <c r="C100" s="54" t="s">
        <v>16</v>
      </c>
      <c r="D100" s="57" t="s">
        <v>22</v>
      </c>
      <c r="E100" s="54" t="s">
        <v>200</v>
      </c>
      <c r="F100" s="59" t="s">
        <v>148</v>
      </c>
      <c r="G100" s="42">
        <v>1483</v>
      </c>
    </row>
    <row r="101" spans="1:7" x14ac:dyDescent="0.25">
      <c r="A101" s="57">
        <v>43998</v>
      </c>
      <c r="B101" s="58">
        <v>43952</v>
      </c>
      <c r="C101" s="54" t="s">
        <v>16</v>
      </c>
      <c r="D101" s="57" t="s">
        <v>18</v>
      </c>
      <c r="E101" s="54" t="s">
        <v>200</v>
      </c>
      <c r="F101" s="59" t="s">
        <v>237</v>
      </c>
      <c r="G101" s="42">
        <v>50000</v>
      </c>
    </row>
    <row r="102" spans="1:7" x14ac:dyDescent="0.25">
      <c r="A102" s="57">
        <v>43998</v>
      </c>
      <c r="B102" s="58">
        <v>43983</v>
      </c>
      <c r="C102" s="54" t="s">
        <v>16</v>
      </c>
      <c r="D102" s="57" t="s">
        <v>18</v>
      </c>
      <c r="E102" s="54" t="s">
        <v>200</v>
      </c>
      <c r="F102" s="59" t="s">
        <v>238</v>
      </c>
      <c r="G102" s="42">
        <v>50000</v>
      </c>
    </row>
    <row r="103" spans="1:7" ht="33" x14ac:dyDescent="0.25">
      <c r="A103" s="57">
        <v>44011</v>
      </c>
      <c r="B103" s="58">
        <v>43983</v>
      </c>
      <c r="C103" s="54" t="s">
        <v>16</v>
      </c>
      <c r="D103" s="57" t="s">
        <v>26</v>
      </c>
      <c r="E103" s="54" t="s">
        <v>200</v>
      </c>
      <c r="F103" s="56" t="s">
        <v>272</v>
      </c>
      <c r="G103" s="42">
        <v>15000</v>
      </c>
    </row>
    <row r="104" spans="1:7" x14ac:dyDescent="0.25">
      <c r="A104" s="57">
        <v>44012</v>
      </c>
      <c r="B104" s="58">
        <v>43983</v>
      </c>
      <c r="C104" s="54" t="s">
        <v>16</v>
      </c>
      <c r="D104" s="57" t="s">
        <v>21</v>
      </c>
      <c r="E104" s="54" t="s">
        <v>200</v>
      </c>
      <c r="F104" s="59" t="s">
        <v>122</v>
      </c>
      <c r="G104" s="42">
        <v>5410</v>
      </c>
    </row>
    <row r="105" spans="1:7" x14ac:dyDescent="0.25">
      <c r="A105" s="57">
        <v>44013</v>
      </c>
      <c r="B105" s="58">
        <v>43983</v>
      </c>
      <c r="C105" s="54" t="s">
        <v>16</v>
      </c>
      <c r="D105" s="54" t="s">
        <v>26</v>
      </c>
      <c r="E105" s="54" t="s">
        <v>200</v>
      </c>
      <c r="F105" s="56" t="s">
        <v>274</v>
      </c>
      <c r="G105" s="53">
        <v>25850</v>
      </c>
    </row>
    <row r="106" spans="1:7" x14ac:dyDescent="0.25">
      <c r="A106" s="57">
        <v>44013</v>
      </c>
      <c r="B106" s="58">
        <v>44013</v>
      </c>
      <c r="C106" s="54" t="s">
        <v>16</v>
      </c>
      <c r="D106" s="57" t="s">
        <v>18</v>
      </c>
      <c r="E106" s="54" t="s">
        <v>200</v>
      </c>
      <c r="F106" s="59" t="s">
        <v>273</v>
      </c>
      <c r="G106" s="42">
        <v>50000</v>
      </c>
    </row>
    <row r="107" spans="1:7" x14ac:dyDescent="0.25">
      <c r="A107" s="54">
        <v>44014</v>
      </c>
      <c r="B107" s="55">
        <v>43983</v>
      </c>
      <c r="C107" s="54" t="s">
        <v>16</v>
      </c>
      <c r="D107" s="54" t="s">
        <v>20</v>
      </c>
      <c r="E107" s="54"/>
      <c r="F107" s="56" t="s">
        <v>276</v>
      </c>
      <c r="G107" s="53">
        <v>245915</v>
      </c>
    </row>
    <row r="108" spans="1:7" x14ac:dyDescent="0.25">
      <c r="A108" s="57">
        <v>44015</v>
      </c>
      <c r="B108" s="58">
        <v>43983</v>
      </c>
      <c r="C108" s="57" t="s">
        <v>16</v>
      </c>
      <c r="D108" s="57" t="s">
        <v>25</v>
      </c>
      <c r="E108" s="57" t="s">
        <v>200</v>
      </c>
      <c r="F108" s="56" t="s">
        <v>280</v>
      </c>
      <c r="G108" s="53">
        <v>50000</v>
      </c>
    </row>
    <row r="109" spans="1:7" x14ac:dyDescent="0.25">
      <c r="A109" s="57">
        <v>44015</v>
      </c>
      <c r="B109" s="58">
        <v>43983</v>
      </c>
      <c r="C109" s="57" t="s">
        <v>16</v>
      </c>
      <c r="D109" s="57" t="s">
        <v>25</v>
      </c>
      <c r="E109" s="57" t="s">
        <v>200</v>
      </c>
      <c r="F109" s="56" t="s">
        <v>281</v>
      </c>
      <c r="G109" s="53">
        <v>25000</v>
      </c>
    </row>
    <row r="110" spans="1:7" x14ac:dyDescent="0.25">
      <c r="A110" s="57">
        <v>44015</v>
      </c>
      <c r="B110" s="58">
        <v>43983</v>
      </c>
      <c r="C110" s="57" t="s">
        <v>16</v>
      </c>
      <c r="D110" s="57" t="s">
        <v>25</v>
      </c>
      <c r="E110" s="57" t="s">
        <v>200</v>
      </c>
      <c r="F110" s="56" t="s">
        <v>282</v>
      </c>
      <c r="G110" s="53">
        <v>22000</v>
      </c>
    </row>
    <row r="111" spans="1:7" x14ac:dyDescent="0.25">
      <c r="A111" s="57">
        <v>44015</v>
      </c>
      <c r="B111" s="58">
        <v>43983</v>
      </c>
      <c r="C111" s="57" t="s">
        <v>16</v>
      </c>
      <c r="D111" s="57" t="s">
        <v>25</v>
      </c>
      <c r="E111" s="57" t="s">
        <v>200</v>
      </c>
      <c r="F111" s="56" t="s">
        <v>283</v>
      </c>
      <c r="G111" s="53">
        <v>23000</v>
      </c>
    </row>
    <row r="112" spans="1:7" x14ac:dyDescent="0.25">
      <c r="A112" s="57">
        <v>44016</v>
      </c>
      <c r="B112" s="58">
        <v>43983</v>
      </c>
      <c r="C112" s="57" t="s">
        <v>16</v>
      </c>
      <c r="D112" s="57" t="s">
        <v>25</v>
      </c>
      <c r="E112" s="57" t="s">
        <v>200</v>
      </c>
      <c r="F112" s="59" t="s">
        <v>284</v>
      </c>
      <c r="G112" s="42">
        <v>18000</v>
      </c>
    </row>
    <row r="113" spans="1:8" x14ac:dyDescent="0.25">
      <c r="A113" s="57">
        <v>44016</v>
      </c>
      <c r="B113" s="58">
        <v>43983</v>
      </c>
      <c r="C113" s="54" t="s">
        <v>16</v>
      </c>
      <c r="D113" s="57" t="s">
        <v>21</v>
      </c>
      <c r="E113" s="54" t="s">
        <v>200</v>
      </c>
      <c r="F113" s="59" t="s">
        <v>199</v>
      </c>
      <c r="G113" s="42">
        <v>50000</v>
      </c>
    </row>
    <row r="114" spans="1:8" x14ac:dyDescent="0.25">
      <c r="A114" s="54">
        <v>44018</v>
      </c>
      <c r="B114" s="58">
        <v>43983</v>
      </c>
      <c r="C114" s="54" t="s">
        <v>16</v>
      </c>
      <c r="D114" s="54" t="s">
        <v>25</v>
      </c>
      <c r="E114" s="54" t="s">
        <v>200</v>
      </c>
      <c r="F114" s="56" t="s">
        <v>281</v>
      </c>
      <c r="G114" s="53">
        <v>1900</v>
      </c>
    </row>
    <row r="115" spans="1:8" x14ac:dyDescent="0.25">
      <c r="A115" s="54">
        <v>44018</v>
      </c>
      <c r="B115" s="58">
        <v>43983</v>
      </c>
      <c r="C115" s="54" t="s">
        <v>16</v>
      </c>
      <c r="D115" s="54" t="s">
        <v>25</v>
      </c>
      <c r="E115" s="54" t="s">
        <v>200</v>
      </c>
      <c r="F115" s="56" t="s">
        <v>282</v>
      </c>
      <c r="G115" s="53">
        <v>1700</v>
      </c>
    </row>
    <row r="116" spans="1:8" x14ac:dyDescent="0.25">
      <c r="A116" s="54">
        <v>44018</v>
      </c>
      <c r="B116" s="58">
        <v>43983</v>
      </c>
      <c r="C116" s="54" t="s">
        <v>16</v>
      </c>
      <c r="D116" s="54" t="s">
        <v>25</v>
      </c>
      <c r="E116" s="54" t="s">
        <v>200</v>
      </c>
      <c r="F116" s="56" t="s">
        <v>283</v>
      </c>
      <c r="G116" s="53">
        <v>1800</v>
      </c>
    </row>
    <row r="117" spans="1:8" ht="33" x14ac:dyDescent="0.25">
      <c r="A117" s="57">
        <v>44043</v>
      </c>
      <c r="B117" s="58">
        <v>44013</v>
      </c>
      <c r="C117" s="54" t="s">
        <v>16</v>
      </c>
      <c r="D117" s="57" t="s">
        <v>26</v>
      </c>
      <c r="E117" s="54" t="s">
        <v>200</v>
      </c>
      <c r="F117" s="56" t="s">
        <v>300</v>
      </c>
      <c r="G117" s="42">
        <v>15000</v>
      </c>
    </row>
    <row r="118" spans="1:8" x14ac:dyDescent="0.25">
      <c r="A118" s="57">
        <v>44048</v>
      </c>
      <c r="B118" s="58">
        <v>44013</v>
      </c>
      <c r="C118" s="54" t="s">
        <v>16</v>
      </c>
      <c r="D118" s="57" t="s">
        <v>21</v>
      </c>
      <c r="E118" s="54" t="s">
        <v>200</v>
      </c>
      <c r="F118" s="56" t="s">
        <v>122</v>
      </c>
      <c r="G118" s="42">
        <v>7530</v>
      </c>
    </row>
    <row r="119" spans="1:8" x14ac:dyDescent="0.25">
      <c r="A119" s="57">
        <v>44048</v>
      </c>
      <c r="B119" s="58">
        <v>44013</v>
      </c>
      <c r="C119" s="54" t="s">
        <v>16</v>
      </c>
      <c r="D119" s="57" t="s">
        <v>25</v>
      </c>
      <c r="E119" s="54" t="s">
        <v>200</v>
      </c>
      <c r="F119" s="56" t="s">
        <v>301</v>
      </c>
      <c r="G119" s="42">
        <v>21500</v>
      </c>
    </row>
    <row r="120" spans="1:8" x14ac:dyDescent="0.25">
      <c r="A120" s="57">
        <v>44048</v>
      </c>
      <c r="B120" s="58">
        <v>44013</v>
      </c>
      <c r="C120" s="54" t="s">
        <v>16</v>
      </c>
      <c r="D120" s="57" t="s">
        <v>25</v>
      </c>
      <c r="E120" s="54" t="s">
        <v>200</v>
      </c>
      <c r="F120" s="56" t="s">
        <v>302</v>
      </c>
      <c r="G120" s="42">
        <v>50000</v>
      </c>
    </row>
    <row r="121" spans="1:8" x14ac:dyDescent="0.25">
      <c r="A121" s="57">
        <v>44048</v>
      </c>
      <c r="B121" s="58">
        <v>44013</v>
      </c>
      <c r="C121" s="54" t="s">
        <v>16</v>
      </c>
      <c r="D121" s="57" t="s">
        <v>25</v>
      </c>
      <c r="E121" s="54" t="s">
        <v>200</v>
      </c>
      <c r="F121" s="56" t="s">
        <v>303</v>
      </c>
      <c r="G121" s="42">
        <v>26900</v>
      </c>
    </row>
    <row r="122" spans="1:8" x14ac:dyDescent="0.25">
      <c r="A122" s="57">
        <v>44048</v>
      </c>
      <c r="B122" s="58">
        <v>44013</v>
      </c>
      <c r="C122" s="54" t="s">
        <v>16</v>
      </c>
      <c r="D122" s="57" t="s">
        <v>25</v>
      </c>
      <c r="E122" s="54" t="s">
        <v>200</v>
      </c>
      <c r="F122" s="56" t="s">
        <v>304</v>
      </c>
      <c r="G122" s="42">
        <v>24800</v>
      </c>
    </row>
    <row r="123" spans="1:8" x14ac:dyDescent="0.25">
      <c r="A123" s="57">
        <v>44051</v>
      </c>
      <c r="B123" s="58">
        <v>44013</v>
      </c>
      <c r="C123" s="54" t="s">
        <v>16</v>
      </c>
      <c r="D123" s="57" t="s">
        <v>25</v>
      </c>
      <c r="E123" s="54" t="s">
        <v>200</v>
      </c>
      <c r="F123" s="56" t="s">
        <v>284</v>
      </c>
      <c r="G123" s="42">
        <v>18000</v>
      </c>
    </row>
    <row r="124" spans="1:8" ht="33" x14ac:dyDescent="0.25">
      <c r="A124" s="57">
        <v>44074</v>
      </c>
      <c r="B124" s="58">
        <v>44044</v>
      </c>
      <c r="C124" s="54" t="s">
        <v>16</v>
      </c>
      <c r="D124" s="57" t="s">
        <v>26</v>
      </c>
      <c r="E124" s="54" t="s">
        <v>200</v>
      </c>
      <c r="F124" s="56" t="s">
        <v>309</v>
      </c>
      <c r="G124" s="42">
        <v>15000</v>
      </c>
      <c r="H124" s="73"/>
    </row>
    <row r="125" spans="1:8" s="73" customFormat="1" x14ac:dyDescent="0.25">
      <c r="A125" s="57">
        <v>44074</v>
      </c>
      <c r="B125" s="58">
        <v>44013</v>
      </c>
      <c r="C125" s="54" t="s">
        <v>16</v>
      </c>
      <c r="D125" s="57" t="s">
        <v>20</v>
      </c>
      <c r="E125" s="54"/>
      <c r="F125" s="56" t="s">
        <v>276</v>
      </c>
      <c r="G125" s="42">
        <v>199475</v>
      </c>
    </row>
    <row r="126" spans="1:8" x14ac:dyDescent="0.25">
      <c r="A126" s="111">
        <v>44078</v>
      </c>
      <c r="B126" s="114">
        <v>44044</v>
      </c>
      <c r="C126" s="111" t="s">
        <v>16</v>
      </c>
      <c r="D126" s="111" t="s">
        <v>25</v>
      </c>
      <c r="E126" s="111" t="s">
        <v>200</v>
      </c>
      <c r="F126" s="112" t="s">
        <v>310</v>
      </c>
      <c r="G126" s="110">
        <v>10000</v>
      </c>
      <c r="H126" s="73"/>
    </row>
    <row r="127" spans="1:8" x14ac:dyDescent="0.25">
      <c r="A127" s="111">
        <v>44078</v>
      </c>
      <c r="B127" s="114">
        <v>44044</v>
      </c>
      <c r="C127" s="111" t="s">
        <v>16</v>
      </c>
      <c r="D127" s="111" t="s">
        <v>25</v>
      </c>
      <c r="E127" s="111" t="s">
        <v>200</v>
      </c>
      <c r="F127" s="115" t="s">
        <v>311</v>
      </c>
      <c r="G127" s="113">
        <v>75000</v>
      </c>
      <c r="H127" s="73"/>
    </row>
    <row r="128" spans="1:8" x14ac:dyDescent="0.25">
      <c r="A128" s="111">
        <v>44078</v>
      </c>
      <c r="B128" s="114">
        <v>44044</v>
      </c>
      <c r="C128" s="111" t="s">
        <v>16</v>
      </c>
      <c r="D128" s="111" t="s">
        <v>25</v>
      </c>
      <c r="E128" s="111" t="s">
        <v>200</v>
      </c>
      <c r="F128" s="115" t="s">
        <v>312</v>
      </c>
      <c r="G128" s="113">
        <v>37500</v>
      </c>
      <c r="H128" s="73"/>
    </row>
    <row r="129" spans="1:9" ht="33" x14ac:dyDescent="0.25">
      <c r="A129" s="111">
        <v>44078</v>
      </c>
      <c r="B129" s="114">
        <v>44044</v>
      </c>
      <c r="C129" s="111" t="s">
        <v>16</v>
      </c>
      <c r="D129" s="111" t="s">
        <v>25</v>
      </c>
      <c r="E129" s="111" t="s">
        <v>200</v>
      </c>
      <c r="F129" s="115" t="s">
        <v>313</v>
      </c>
      <c r="G129" s="113">
        <v>23000</v>
      </c>
      <c r="H129" s="73"/>
    </row>
    <row r="130" spans="1:9" s="73" customFormat="1" ht="33" x14ac:dyDescent="0.25">
      <c r="A130" s="111">
        <v>44081</v>
      </c>
      <c r="B130" s="114">
        <v>44044</v>
      </c>
      <c r="C130" s="111" t="s">
        <v>16</v>
      </c>
      <c r="D130" s="111" t="s">
        <v>25</v>
      </c>
      <c r="E130" s="111" t="s">
        <v>200</v>
      </c>
      <c r="F130" s="115" t="s">
        <v>313</v>
      </c>
      <c r="G130" s="113">
        <v>11500</v>
      </c>
    </row>
    <row r="131" spans="1:9" x14ac:dyDescent="0.25">
      <c r="A131" s="57">
        <v>44081</v>
      </c>
      <c r="B131" s="58">
        <v>43983</v>
      </c>
      <c r="C131" s="54" t="s">
        <v>16</v>
      </c>
      <c r="D131" s="57" t="s">
        <v>22</v>
      </c>
      <c r="E131" s="54" t="s">
        <v>200</v>
      </c>
      <c r="F131" s="56" t="s">
        <v>148</v>
      </c>
      <c r="G131" s="42">
        <v>1409</v>
      </c>
      <c r="H131" s="73"/>
    </row>
    <row r="132" spans="1:9" x14ac:dyDescent="0.25">
      <c r="A132" s="57">
        <v>44081</v>
      </c>
      <c r="B132" s="58">
        <v>44013</v>
      </c>
      <c r="C132" s="54" t="s">
        <v>16</v>
      </c>
      <c r="D132" s="57" t="s">
        <v>22</v>
      </c>
      <c r="E132" s="54" t="s">
        <v>200</v>
      </c>
      <c r="F132" s="56" t="s">
        <v>148</v>
      </c>
      <c r="G132" s="42">
        <v>1548</v>
      </c>
      <c r="H132" s="73"/>
      <c r="I132" s="73"/>
    </row>
    <row r="133" spans="1:9" x14ac:dyDescent="0.25">
      <c r="H133" s="73"/>
    </row>
    <row r="134" spans="1:9" x14ac:dyDescent="0.25">
      <c r="H134" s="73"/>
    </row>
    <row r="135" spans="1:9" ht="30" x14ac:dyDescent="0.25">
      <c r="E135" s="108" t="s">
        <v>315</v>
      </c>
      <c r="F135" s="109">
        <f>SUM(G2:H132)</f>
        <v>4319851</v>
      </c>
      <c r="H135" s="73"/>
    </row>
    <row r="136" spans="1:9" ht="30" x14ac:dyDescent="0.25">
      <c r="E136" s="108" t="s">
        <v>316</v>
      </c>
      <c r="F136" s="109">
        <f>F135-F137</f>
        <v>3240250</v>
      </c>
    </row>
    <row r="137" spans="1:9" ht="30" x14ac:dyDescent="0.25">
      <c r="E137" s="108" t="s">
        <v>314</v>
      </c>
      <c r="F137" s="109">
        <v>1079601</v>
      </c>
    </row>
  </sheetData>
  <sortState ref="A2:H3562">
    <sortCondition ref="A2:A3562"/>
  </sortState>
  <pageMargins left="0.70866141732283472" right="0.70866141732283472" top="0.74803149606299213" bottom="0.74803149606299213" header="0.31496062992125984" footer="0.31496062992125984"/>
  <pageSetup paperSize="9" scale="47" fitToHeight="0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0"/>
  <sheetViews>
    <sheetView zoomScale="70" zoomScaleNormal="70" workbookViewId="0">
      <pane xSplit="2" topLeftCell="C1" activePane="topRight" state="frozen"/>
      <selection pane="topRight"/>
    </sheetView>
  </sheetViews>
  <sheetFormatPr defaultColWidth="8.85546875" defaultRowHeight="19.5" x14ac:dyDescent="0.25"/>
  <cols>
    <col min="1" max="1" width="11" style="20" customWidth="1"/>
    <col min="2" max="2" width="28.85546875" style="3" bestFit="1" customWidth="1"/>
    <col min="3" max="9" width="11.42578125" style="3" bestFit="1" customWidth="1"/>
    <col min="10" max="10" width="11.5703125" style="3" bestFit="1" customWidth="1"/>
    <col min="11" max="11" width="10.85546875" style="3" bestFit="1" customWidth="1"/>
    <col min="12" max="12" width="12" style="3" bestFit="1" customWidth="1"/>
    <col min="13" max="13" width="10.7109375" style="3" bestFit="1" customWidth="1"/>
    <col min="14" max="15" width="11.42578125" style="3" bestFit="1" customWidth="1"/>
    <col min="16" max="16" width="11.28515625" style="3" bestFit="1" customWidth="1"/>
    <col min="17" max="17" width="10.85546875" style="3" bestFit="1" customWidth="1"/>
    <col min="18" max="19" width="11.42578125" style="3" bestFit="1" customWidth="1"/>
    <col min="20" max="20" width="8.85546875" style="3" customWidth="1"/>
    <col min="21" max="21" width="14.42578125" style="3" customWidth="1"/>
    <col min="22" max="22" width="8.85546875" style="3"/>
    <col min="23" max="23" width="12.85546875" style="3" bestFit="1" customWidth="1"/>
    <col min="24" max="24" width="8.85546875" style="3"/>
    <col min="25" max="25" width="11.42578125" style="3" bestFit="1" customWidth="1"/>
    <col min="26" max="16384" width="8.85546875" style="3"/>
  </cols>
  <sheetData>
    <row r="1" spans="1:19" s="38" customFormat="1" ht="26.25" thickBot="1" x14ac:dyDescent="0.3">
      <c r="A1" s="12" t="s">
        <v>13</v>
      </c>
      <c r="B1" s="12" t="s">
        <v>16</v>
      </c>
      <c r="C1" s="13">
        <v>43678</v>
      </c>
      <c r="D1" s="13">
        <v>43709</v>
      </c>
      <c r="E1" s="13">
        <v>43739</v>
      </c>
      <c r="F1" s="13">
        <v>43770</v>
      </c>
      <c r="G1" s="13">
        <v>43800</v>
      </c>
      <c r="H1" s="13">
        <v>43831</v>
      </c>
      <c r="I1" s="13">
        <v>43862</v>
      </c>
      <c r="J1" s="13">
        <v>43891</v>
      </c>
      <c r="K1" s="13">
        <v>43922</v>
      </c>
      <c r="L1" s="13">
        <v>43952</v>
      </c>
      <c r="M1" s="13">
        <v>43983</v>
      </c>
      <c r="N1" s="13">
        <v>44013</v>
      </c>
      <c r="O1" s="13">
        <v>44044</v>
      </c>
      <c r="P1" s="13">
        <v>44075</v>
      </c>
      <c r="Q1" s="13">
        <v>44105</v>
      </c>
      <c r="R1" s="13">
        <v>44136</v>
      </c>
      <c r="S1" s="13">
        <v>44166</v>
      </c>
    </row>
    <row r="2" spans="1:19" x14ac:dyDescent="0.25">
      <c r="A2" s="14">
        <f t="shared" ref="A2:A18" si="0">SUM(C2:AA2)</f>
        <v>115870</v>
      </c>
      <c r="B2" s="15" t="s">
        <v>21</v>
      </c>
      <c r="C2" s="16">
        <f>SUMIFS(Expenses!$G:$G,Expenses!$B:$B,$C$1,Expenses!$D:$D,$B$2,Expenses!$C:$C,$B$1)</f>
        <v>0</v>
      </c>
      <c r="D2" s="16">
        <f>SUMIFS(Expenses!$G:$G,Expenses!$B:$B,$D$1,Expenses!$D:$D,B2,Expenses!$C:$C,$B$1)</f>
        <v>0</v>
      </c>
      <c r="E2" s="16">
        <f>SUMIFS(Expenses!$G:$G,Expenses!$B:$B,$E$1,Expenses!$D:$D,B2,Expenses!$C:$C,$B$1)</f>
        <v>0</v>
      </c>
      <c r="F2" s="16">
        <f>SUMIFS(Expenses!$G:$G,Expenses!$B:$B,$F$1,Expenses!$D:$D,B2,Expenses!$C:$C,$B$1)</f>
        <v>0</v>
      </c>
      <c r="G2" s="16">
        <f>SUMIFS(Expenses!$G:$G,Expenses!$B:$B,$G$1,Expenses!$D:$D,B2,Expenses!$C:$C,$B$1)</f>
        <v>0</v>
      </c>
      <c r="H2" s="16">
        <f>SUMIFS(Expenses!$G:$G,Expenses!$B:$B,$H$1,Expenses!$D:$D,B2,Expenses!$C:$C,$B$1)</f>
        <v>0</v>
      </c>
      <c r="I2" s="16">
        <f>SUMIFS(Expenses!$G:$G,Expenses!$B:$B,$I$1,Expenses!$D:$D,B2,Expenses!$C:$C,$B$1)</f>
        <v>0</v>
      </c>
      <c r="J2" s="16">
        <f>SUMIFS(Expenses!$G:$G,Expenses!$B:$B,$J$1,Expenses!$D:$D,B2,Expenses!$C:$C,$B$1)</f>
        <v>0</v>
      </c>
      <c r="K2" s="16">
        <f>SUMIFS(Expenses!$G:$G,Expenses!$B:$B,$K$1,Expenses!$D:$D,B2,Expenses!$C:$C,$B$1)</f>
        <v>0</v>
      </c>
      <c r="L2" s="16">
        <f>SUMIFS(Expenses!$G:$G,Expenses!$B:$B,$L$1,Expenses!$D:$D,B2,Expenses!$C:$C,$B$1)</f>
        <v>52930</v>
      </c>
      <c r="M2" s="16">
        <f>SUMIFS(Expenses!$G:$G,Expenses!$B:$B,$M$1,Expenses!$D:$D,B2,Expenses!$C:$C,$B$1)</f>
        <v>55410</v>
      </c>
      <c r="N2" s="16">
        <f>SUMIFS(Expenses!$G:$G,Expenses!$B:$B,$N$1,Expenses!$D:$D,B2,Expenses!$C:$C,$B$1)</f>
        <v>7530</v>
      </c>
      <c r="O2" s="16">
        <f>SUMIFS(Expenses!$G:$G,Expenses!$B:$B,$O$1,Expenses!$D:$D,B2,Expenses!$C:$C,$B$1)</f>
        <v>0</v>
      </c>
      <c r="P2" s="16">
        <f>SUMIFS(Expenses!$G:$G,Expenses!$B:$B,$P$1,Expenses!$D:$D,B2,Expenses!$C:$C,$B$1)</f>
        <v>0</v>
      </c>
      <c r="Q2" s="16">
        <f>SUMIFS(Expenses!$G:$G,Expenses!$B:$B,$Q$1,Expenses!$D:$D,B2,Expenses!$C:$C,$B$1)</f>
        <v>0</v>
      </c>
      <c r="R2" s="16">
        <f>SUMIFS(Expenses!$G:$G,Expenses!$B:$B,$R$1,Expenses!$D:$D,B2,Expenses!$C:$C,$B$1)</f>
        <v>0</v>
      </c>
      <c r="S2" s="16">
        <f>SUMIFS(Expenses!$G:$G,Expenses!$B:$B,$S$1,Expenses!$D:$D,B2,Expenses!$C:$C,$B$1)</f>
        <v>0</v>
      </c>
    </row>
    <row r="3" spans="1:19" x14ac:dyDescent="0.25">
      <c r="A3" s="17">
        <f t="shared" si="0"/>
        <v>25368</v>
      </c>
      <c r="B3" s="18" t="s">
        <v>28</v>
      </c>
      <c r="C3" s="11">
        <f>SUMIFS(Expenses!$G:$G,Expenses!$B:$B,$C$1,Expenses!$D:$D,B3,Expenses!$C:$C,$B$1)</f>
        <v>0</v>
      </c>
      <c r="D3" s="11">
        <f>SUMIFS(Expenses!$G:$G,Expenses!$B:$B,$D$1,Expenses!$D:$D,B3,Expenses!$C:$C,$B$1)</f>
        <v>0</v>
      </c>
      <c r="E3" s="11">
        <f>SUMIFS(Expenses!$G:$G,Expenses!$B:$B,$E$1,Expenses!$D:$D,B3,Expenses!$C:$C,$B$1)</f>
        <v>0</v>
      </c>
      <c r="F3" s="11">
        <f>SUMIFS(Expenses!$G:$G,Expenses!$B:$B,$F$1,Expenses!$D:$D,B3,Expenses!$C:$C,$B$1)</f>
        <v>0</v>
      </c>
      <c r="G3" s="11">
        <f>SUMIFS(Expenses!$G:$G,Expenses!$B:$B,$G$1,Expenses!$D:$D,B3,Expenses!$C:$C,$B$1)</f>
        <v>0</v>
      </c>
      <c r="H3" s="11">
        <f>SUMIFS(Expenses!$G:$G,Expenses!$B:$B,$H$1,Expenses!$D:$D,B3,Expenses!$C:$C,$B$1)</f>
        <v>25368</v>
      </c>
      <c r="I3" s="16">
        <f>SUMIFS(Expenses!$G:$G,Expenses!$B:$B,$I$1,Expenses!$D:$D,B3,Expenses!$C:$C,$B$1)</f>
        <v>0</v>
      </c>
      <c r="J3" s="16">
        <f>SUMIFS(Expenses!$G:$G,Expenses!$B:$B,$J$1,Expenses!$D:$D,B3,Expenses!$C:$C,$B$1)</f>
        <v>0</v>
      </c>
      <c r="K3" s="16">
        <f>SUMIFS(Expenses!$G:$G,Expenses!$B:$B,$K$1,Expenses!$D:$D,B3,Expenses!$C:$C,$B$1)</f>
        <v>0</v>
      </c>
      <c r="L3" s="16">
        <f>SUMIFS(Expenses!$G:$G,Expenses!$B:$B,$L$1,Expenses!$D:$D,B3,Expenses!$C:$C,$B$1)</f>
        <v>0</v>
      </c>
      <c r="M3" s="16">
        <f>SUMIFS(Expenses!$G:$G,Expenses!$B:$B,$M$1,Expenses!$D:$D,B3,Expenses!$C:$C,$B$1)</f>
        <v>0</v>
      </c>
      <c r="N3" s="16">
        <f>SUMIFS(Expenses!$G:$G,Expenses!$B:$B,$N$1,Expenses!$D:$D,B3,Expenses!$C:$C,$B$1)</f>
        <v>0</v>
      </c>
      <c r="O3" s="16">
        <f>SUMIFS(Expenses!$G:$G,Expenses!$B:$B,$O$1,Expenses!$D:$D,B3,Expenses!$C:$C,$B$1)</f>
        <v>0</v>
      </c>
      <c r="P3" s="16">
        <f>SUMIFS(Expenses!$G:$G,Expenses!$B:$B,$P$1,Expenses!$D:$D,B3,Expenses!$C:$C,$B$1)</f>
        <v>0</v>
      </c>
      <c r="Q3" s="16">
        <f>SUMIFS(Expenses!$G:$G,Expenses!$B:$B,$Q$1,Expenses!$D:$D,B3,Expenses!$C:$C,$B$1)</f>
        <v>0</v>
      </c>
      <c r="R3" s="16">
        <f>SUMIFS(Expenses!$G:$G,Expenses!$B:$B,$R$1,Expenses!$D:$D,B3,Expenses!$C:$C,$B$1)</f>
        <v>0</v>
      </c>
      <c r="S3" s="16">
        <f>SUMIFS(Expenses!$G:$G,Expenses!$B:$B,$S$1,Expenses!$D:$D,B3,Expenses!$C:$C,$B$1)</f>
        <v>0</v>
      </c>
    </row>
    <row r="4" spans="1:19" x14ac:dyDescent="0.25">
      <c r="A4" s="17">
        <f t="shared" si="0"/>
        <v>152750</v>
      </c>
      <c r="B4" s="18" t="s">
        <v>26</v>
      </c>
      <c r="C4" s="11">
        <f>SUMIFS(Expenses!$G:$G,Expenses!$B:$B,$C$1,Expenses!$D:$D,B4,Expenses!$C:$C,$B$1)</f>
        <v>0</v>
      </c>
      <c r="D4" s="11">
        <f>SUMIFS(Expenses!$G:$G,Expenses!$B:$B,$D$1,Expenses!$D:$D,B4,Expenses!$C:$C,$B$1)</f>
        <v>0</v>
      </c>
      <c r="E4" s="11">
        <f>SUMIFS(Expenses!$G:$G,Expenses!$B:$B,$E$1,Expenses!$D:$D,B4,Expenses!$C:$C,$B$1)</f>
        <v>0</v>
      </c>
      <c r="F4" s="11">
        <f>SUMIFS(Expenses!$G:$G,Expenses!$B:$B,$F$1,Expenses!$D:$D,B4,Expenses!$C:$C,$B$1)</f>
        <v>0</v>
      </c>
      <c r="G4" s="11">
        <f>SUMIFS(Expenses!$G:$G,Expenses!$B:$B,$G$1,Expenses!$D:$D,B4,Expenses!$C:$C,$B$1)</f>
        <v>35000</v>
      </c>
      <c r="H4" s="11">
        <f>SUMIFS(Expenses!$G:$G,Expenses!$B:$B,$H$1,Expenses!$D:$D,B4,Expenses!$C:$C,$B$1)</f>
        <v>35000</v>
      </c>
      <c r="I4" s="16">
        <f>SUMIFS(Expenses!$G:$G,Expenses!$B:$B,$I$1,Expenses!$D:$D,B4,Expenses!$C:$C,$B$1)</f>
        <v>0</v>
      </c>
      <c r="J4" s="16">
        <f>SUMIFS(Expenses!$G:$G,Expenses!$B:$B,$J$1,Expenses!$D:$D,B4,Expenses!$C:$C,$B$1)</f>
        <v>0</v>
      </c>
      <c r="K4" s="16">
        <f>SUMIFS(Expenses!$G:$G,Expenses!$B:$B,$K$1,Expenses!$D:$D,B4,Expenses!$C:$C,$B$1)</f>
        <v>0</v>
      </c>
      <c r="L4" s="16">
        <f>SUMIFS(Expenses!$G:$G,Expenses!$B:$B,$L$1,Expenses!$D:$D,B4,Expenses!$C:$C,$B$1)</f>
        <v>0</v>
      </c>
      <c r="M4" s="16">
        <f>SUMIFS(Expenses!$G:$G,Expenses!$B:$B,$M$1,Expenses!$D:$D,B4,Expenses!$C:$C,$B$1)</f>
        <v>52750</v>
      </c>
      <c r="N4" s="16">
        <f>SUMIFS(Expenses!$G:$G,Expenses!$B:$B,$N$1,Expenses!$D:$D,B4,Expenses!$C:$C,$B$1)</f>
        <v>15000</v>
      </c>
      <c r="O4" s="16">
        <f>SUMIFS(Expenses!$G:$G,Expenses!$B:$B,$O$1,Expenses!$D:$D,B4,Expenses!$C:$C,$B$1)</f>
        <v>15000</v>
      </c>
      <c r="P4" s="16">
        <f>SUMIFS(Expenses!$G:$G,Expenses!$B:$B,$P$1,Expenses!$D:$D,B4,Expenses!$C:$C,$B$1)</f>
        <v>0</v>
      </c>
      <c r="Q4" s="16">
        <f>SUMIFS(Expenses!$G:$G,Expenses!$B:$B,$Q$1,Expenses!$D:$D,B4,Expenses!$C:$C,$B$1)</f>
        <v>0</v>
      </c>
      <c r="R4" s="16">
        <f>SUMIFS(Expenses!$G:$G,Expenses!$B:$B,$R$1,Expenses!$D:$D,B4,Expenses!$C:$C,$B$1)</f>
        <v>0</v>
      </c>
      <c r="S4" s="16">
        <f>SUMIFS(Expenses!$G:$G,Expenses!$B:$B,$S$1,Expenses!$D:$D,B4,Expenses!$C:$C,$B$1)</f>
        <v>0</v>
      </c>
    </row>
    <row r="5" spans="1:19" x14ac:dyDescent="0.25">
      <c r="A5" s="17">
        <f t="shared" si="0"/>
        <v>450290</v>
      </c>
      <c r="B5" s="18" t="s">
        <v>20</v>
      </c>
      <c r="C5" s="11">
        <f>SUMIFS(Expenses!$G:$G,Expenses!$B:$B,$C$1,Expenses!$D:$D,B5,Expenses!$C:$C,$B$1)</f>
        <v>0</v>
      </c>
      <c r="D5" s="11">
        <f>SUMIFS(Expenses!$G:$G,Expenses!$B:$B,$D$1,Expenses!$D:$D,B5,Expenses!$C:$C,$B$1)</f>
        <v>0</v>
      </c>
      <c r="E5" s="11">
        <f>SUMIFS(Expenses!$G:$G,Expenses!$B:$B,$E$1,Expenses!$D:$D,B5,Expenses!$C:$C,$B$1)</f>
        <v>0</v>
      </c>
      <c r="F5" s="11">
        <f>SUMIFS(Expenses!$G:$G,Expenses!$B:$B,$F$1,Expenses!$D:$D,B5,Expenses!$C:$C,$B$1)</f>
        <v>0</v>
      </c>
      <c r="G5" s="11">
        <f>SUMIFS(Expenses!$G:$G,Expenses!$B:$B,$G$1,Expenses!$D:$D,B5,Expenses!$C:$C,$B$1)</f>
        <v>0</v>
      </c>
      <c r="H5" s="11">
        <f>SUMIFS(Expenses!$G:$G,Expenses!$B:$B,$H$1,Expenses!$D:$D,B5,Expenses!$C:$C,$B$1)</f>
        <v>4900</v>
      </c>
      <c r="I5" s="16">
        <f>SUMIFS(Expenses!$G:$G,Expenses!$B:$B,$I$1,Expenses!$D:$D,B5,Expenses!$C:$C,$B$1)</f>
        <v>0</v>
      </c>
      <c r="J5" s="16">
        <f>SUMIFS(Expenses!$G:$G,Expenses!$B:$B,$J$1,Expenses!$D:$D,B5,Expenses!$C:$C,$B$1)</f>
        <v>0</v>
      </c>
      <c r="K5" s="16">
        <f>SUMIFS(Expenses!$G:$G,Expenses!$B:$B,$K$1,Expenses!$D:$D,B5,Expenses!$C:$C,$B$1)</f>
        <v>0</v>
      </c>
      <c r="L5" s="16">
        <f>SUMIFS(Expenses!$G:$G,Expenses!$B:$B,$L$1,Expenses!$D:$D,B5,Expenses!$C:$C,$B$1)</f>
        <v>0</v>
      </c>
      <c r="M5" s="16">
        <f>SUMIFS(Expenses!$G:$G,Expenses!$B:$B,$M$1,Expenses!$D:$D,B5,Expenses!$C:$C,$B$1)</f>
        <v>245915</v>
      </c>
      <c r="N5" s="16">
        <f>SUMIFS(Expenses!$G:$G,Expenses!$B:$B,$N$1,Expenses!$D:$D,B5,Expenses!$C:$C,$B$1)</f>
        <v>199475</v>
      </c>
      <c r="O5" s="16">
        <f>SUMIFS(Expenses!$G:$G,Expenses!$B:$B,$O$1,Expenses!$D:$D,B5,Expenses!$C:$C,$B$1)</f>
        <v>0</v>
      </c>
      <c r="P5" s="16">
        <f>SUMIFS(Expenses!$G:$G,Expenses!$B:$B,$P$1,Expenses!$D:$D,B5,Expenses!$C:$C,$B$1)</f>
        <v>0</v>
      </c>
      <c r="Q5" s="16">
        <f>SUMIFS(Expenses!$G:$G,Expenses!$B:$B,$Q$1,Expenses!$D:$D,B5,Expenses!$C:$C,$B$1)</f>
        <v>0</v>
      </c>
      <c r="R5" s="16">
        <f>SUMIFS(Expenses!$G:$G,Expenses!$B:$B,$R$1,Expenses!$D:$D,B5,Expenses!$C:$C,$B$1)</f>
        <v>0</v>
      </c>
      <c r="S5" s="16">
        <f>SUMIFS(Expenses!$G:$G,Expenses!$B:$B,$S$1,Expenses!$D:$D,B5,Expenses!$C:$C,$B$1)</f>
        <v>0</v>
      </c>
    </row>
    <row r="6" spans="1:19" x14ac:dyDescent="0.25">
      <c r="A6" s="17">
        <f t="shared" si="0"/>
        <v>367954</v>
      </c>
      <c r="B6" s="18" t="s">
        <v>17</v>
      </c>
      <c r="C6" s="11">
        <f>SUMIFS(Expenses!$G:$G,Expenses!$B:$B,$C$1,Expenses!$D:$D,B6,Expenses!$C:$C,$B$1)</f>
        <v>0</v>
      </c>
      <c r="D6" s="11">
        <f>SUMIFS(Expenses!$G:$G,Expenses!$B:$B,$D$1,Expenses!$D:$D,B6,Expenses!$C:$C,$B$1)</f>
        <v>0</v>
      </c>
      <c r="E6" s="11">
        <f>SUMIFS(Expenses!$G:$G,Expenses!$B:$B,$E$1,Expenses!$D:$D,B6,Expenses!$C:$C,$B$1)</f>
        <v>274054</v>
      </c>
      <c r="F6" s="11">
        <f>SUMIFS(Expenses!$G:$G,Expenses!$B:$B,$F$1,Expenses!$D:$D,B6,Expenses!$C:$C,$B$1)</f>
        <v>93900</v>
      </c>
      <c r="G6" s="11">
        <f>SUMIFS(Expenses!$G:$G,Expenses!$B:$B,$G$1,Expenses!$D:$D,B6,Expenses!$C:$C,$B$1)</f>
        <v>0</v>
      </c>
      <c r="H6" s="11">
        <f>SUMIFS(Expenses!$G:$G,Expenses!$B:$B,$H$1,Expenses!$D:$D,B6,Expenses!$C:$C,$B$1)</f>
        <v>0</v>
      </c>
      <c r="I6" s="16">
        <f>SUMIFS(Expenses!$G:$G,Expenses!$B:$B,$I$1,Expenses!$D:$D,B6,Expenses!$C:$C,$B$1)</f>
        <v>0</v>
      </c>
      <c r="J6" s="16">
        <f>SUMIFS(Expenses!$G:$G,Expenses!$B:$B,$J$1,Expenses!$D:$D,B6,Expenses!$C:$C,$B$1)</f>
        <v>0</v>
      </c>
      <c r="K6" s="16">
        <f>SUMIFS(Expenses!$G:$G,Expenses!$B:$B,$K$1,Expenses!$D:$D,B6,Expenses!$C:$C,$B$1)</f>
        <v>0</v>
      </c>
      <c r="L6" s="16">
        <f>SUMIFS(Expenses!$G:$G,Expenses!$B:$B,$L$1,Expenses!$D:$D,B6,Expenses!$C:$C,$B$1)</f>
        <v>0</v>
      </c>
      <c r="M6" s="16">
        <f>SUMIFS(Expenses!$G:$G,Expenses!$B:$B,$M$1,Expenses!$D:$D,B6,Expenses!$C:$C,$B$1)</f>
        <v>0</v>
      </c>
      <c r="N6" s="16">
        <f>SUMIFS(Expenses!$G:$G,Expenses!$B:$B,$N$1,Expenses!$D:$D,B6,Expenses!$C:$C,$B$1)</f>
        <v>0</v>
      </c>
      <c r="O6" s="16">
        <f>SUMIFS(Expenses!$G:$G,Expenses!$B:$B,$O$1,Expenses!$D:$D,B6,Expenses!$C:$C,$B$1)</f>
        <v>0</v>
      </c>
      <c r="P6" s="16">
        <f>SUMIFS(Expenses!$G:$G,Expenses!$B:$B,$P$1,Expenses!$D:$D,B6,Expenses!$C:$C,$B$1)</f>
        <v>0</v>
      </c>
      <c r="Q6" s="16">
        <f>SUMIFS(Expenses!$G:$G,Expenses!$B:$B,$Q$1,Expenses!$D:$D,B6,Expenses!$C:$C,$B$1)</f>
        <v>0</v>
      </c>
      <c r="R6" s="16">
        <f>SUMIFS(Expenses!$G:$G,Expenses!$B:$B,$R$1,Expenses!$D:$D,B6,Expenses!$C:$C,$B$1)</f>
        <v>0</v>
      </c>
      <c r="S6" s="16">
        <f>SUMIFS(Expenses!$G:$G,Expenses!$B:$B,$S$1,Expenses!$D:$D,B6,Expenses!$C:$C,$B$1)</f>
        <v>0</v>
      </c>
    </row>
    <row r="7" spans="1:19" x14ac:dyDescent="0.25">
      <c r="A7" s="17">
        <f t="shared" si="0"/>
        <v>150000</v>
      </c>
      <c r="B7" s="18" t="s">
        <v>18</v>
      </c>
      <c r="C7" s="11">
        <f>SUMIFS(Expenses!$G:$G,Expenses!$B:$B,$C$1,Expenses!$D:$D,B7,Expenses!$C:$C,$B$1)</f>
        <v>0</v>
      </c>
      <c r="D7" s="11">
        <f>SUMIFS(Expenses!$G:$G,Expenses!$B:$B,$D$1,Expenses!$D:$D,B7,Expenses!$C:$C,$B$1)</f>
        <v>0</v>
      </c>
      <c r="E7" s="11">
        <f>SUMIFS(Expenses!$G:$G,Expenses!$B:$B,$E$1,Expenses!$D:$D,B7,Expenses!$C:$C,$B$1)</f>
        <v>0</v>
      </c>
      <c r="F7" s="11">
        <f>SUMIFS(Expenses!$G:$G,Expenses!$B:$B,$F$1,Expenses!$D:$D,B7,Expenses!$C:$C,$B$1)</f>
        <v>0</v>
      </c>
      <c r="G7" s="11">
        <f>SUMIFS(Expenses!$G:$G,Expenses!$B:$B,$G$1,Expenses!$D:$D,B7,Expenses!$C:$C,$B$1)</f>
        <v>0</v>
      </c>
      <c r="H7" s="11">
        <f>SUMIFS(Expenses!$G:$G,Expenses!$B:$B,$H$1,Expenses!$D:$D,B7,Expenses!$C:$C,$B$1)</f>
        <v>0</v>
      </c>
      <c r="I7" s="16">
        <f>SUMIFS(Expenses!$G:$G,Expenses!$B:$B,$I$1,Expenses!$D:$D,B7,Expenses!$C:$C,$B$1)</f>
        <v>0</v>
      </c>
      <c r="J7" s="16">
        <f>SUMIFS(Expenses!$G:$G,Expenses!$B:$B,$J$1,Expenses!$D:$D,B7,Expenses!$C:$C,$B$1)</f>
        <v>0</v>
      </c>
      <c r="K7" s="16">
        <f>SUMIFS(Expenses!$G:$G,Expenses!$B:$B,$K$1,Expenses!$D:$D,B7,Expenses!$C:$C,$B$1)</f>
        <v>0</v>
      </c>
      <c r="L7" s="16">
        <f>SUMIFS(Expenses!$G:$G,Expenses!$B:$B,$L$1,Expenses!$D:$D,B7,Expenses!$C:$C,$B$1)</f>
        <v>50000</v>
      </c>
      <c r="M7" s="16">
        <f>SUMIFS(Expenses!$G:$G,Expenses!$B:$B,$M$1,Expenses!$D:$D,B7,Expenses!$C:$C,$B$1)</f>
        <v>50000</v>
      </c>
      <c r="N7" s="16">
        <f>SUMIFS(Expenses!$G:$G,Expenses!$B:$B,$N$1,Expenses!$D:$D,B7,Expenses!$C:$C,$B$1)</f>
        <v>50000</v>
      </c>
      <c r="O7" s="16">
        <f>SUMIFS(Expenses!$G:$G,Expenses!$B:$B,$O$1,Expenses!$D:$D,B7,Expenses!$C:$C,$B$1)</f>
        <v>0</v>
      </c>
      <c r="P7" s="16">
        <f>SUMIFS(Expenses!$G:$G,Expenses!$B:$B,$P$1,Expenses!$D:$D,B7,Expenses!$C:$C,$B$1)</f>
        <v>0</v>
      </c>
      <c r="Q7" s="16">
        <f>SUMIFS(Expenses!$G:$G,Expenses!$B:$B,$Q$1,Expenses!$D:$D,B7,Expenses!$C:$C,$B$1)</f>
        <v>0</v>
      </c>
      <c r="R7" s="16">
        <f>SUMIFS(Expenses!$G:$G,Expenses!$B:$B,$R$1,Expenses!$D:$D,B7,Expenses!$C:$C,$B$1)</f>
        <v>0</v>
      </c>
      <c r="S7" s="16">
        <f>SUMIFS(Expenses!$G:$G,Expenses!$B:$B,$S$1,Expenses!$D:$D,B7,Expenses!$C:$C,$B$1)</f>
        <v>0</v>
      </c>
    </row>
    <row r="8" spans="1:19" x14ac:dyDescent="0.25">
      <c r="A8" s="17">
        <f t="shared" si="0"/>
        <v>661300</v>
      </c>
      <c r="B8" s="19" t="s">
        <v>25</v>
      </c>
      <c r="C8" s="11">
        <f>SUMIFS(Expenses!$G:$G,Expenses!$B:$B,$C$1,Expenses!$D:$D,B8,Expenses!$C:$C,$B$1)</f>
        <v>0</v>
      </c>
      <c r="D8" s="11">
        <f>SUMIFS(Expenses!$G:$G,Expenses!$B:$B,$D$1,Expenses!$D:$D,B8,Expenses!$C:$C,$B$1)</f>
        <v>0</v>
      </c>
      <c r="E8" s="11">
        <f>SUMIFS(Expenses!$G:$G,Expenses!$B:$B,$E$1,Expenses!$D:$D,B8,Expenses!$C:$C,$B$1)</f>
        <v>0</v>
      </c>
      <c r="F8" s="11">
        <f>SUMIFS(Expenses!$G:$G,Expenses!$B:$B,$F$1,Expenses!$D:$D,B8,Expenses!$C:$C,$B$1)</f>
        <v>0</v>
      </c>
      <c r="G8" s="11">
        <f>SUMIFS(Expenses!$G:$G,Expenses!$B:$B,$G$1,Expenses!$D:$D,B8,Expenses!$C:$C,$B$1)</f>
        <v>0</v>
      </c>
      <c r="H8" s="11">
        <f>SUMIFS(Expenses!$G:$G,Expenses!$B:$B,$H$1,Expenses!$D:$D,B8,Expenses!$C:$C,$B$1)</f>
        <v>58500</v>
      </c>
      <c r="I8" s="16">
        <f>SUMIFS(Expenses!$G:$G,Expenses!$B:$B,$I$1,Expenses!$D:$D,B8,Expenses!$C:$C,$B$1)</f>
        <v>65200</v>
      </c>
      <c r="J8" s="16">
        <f>SUMIFS(Expenses!$G:$G,Expenses!$B:$B,$J$1,Expenses!$D:$D,B8,Expenses!$C:$C,$B$1)</f>
        <v>0</v>
      </c>
      <c r="K8" s="16">
        <f>SUMIFS(Expenses!$G:$G,Expenses!$B:$B,$K$1,Expenses!$D:$D,B8,Expenses!$C:$C,$B$1)</f>
        <v>0</v>
      </c>
      <c r="L8" s="16">
        <f>SUMIFS(Expenses!$G:$G,Expenses!$B:$B,$L$1,Expenses!$D:$D,B8,Expenses!$C:$C,$B$1)</f>
        <v>96000</v>
      </c>
      <c r="M8" s="16">
        <f>SUMIFS(Expenses!$G:$G,Expenses!$B:$B,$M$1,Expenses!$D:$D,B8,Expenses!$C:$C,$B$1)</f>
        <v>143400</v>
      </c>
      <c r="N8" s="16">
        <f>SUMIFS(Expenses!$G:$G,Expenses!$B:$B,$N$1,Expenses!$D:$D,B8,Expenses!$C:$C,$B$1)</f>
        <v>141200</v>
      </c>
      <c r="O8" s="16">
        <f>SUMIFS(Expenses!$G:$G,Expenses!$B:$B,$O$1,Expenses!$D:$D,B8,Expenses!$C:$C,$B$1)</f>
        <v>157000</v>
      </c>
      <c r="P8" s="16">
        <f>SUMIFS(Expenses!$G:$G,Expenses!$B:$B,$P$1,Expenses!$D:$D,B8,Expenses!$C:$C,$B$1)</f>
        <v>0</v>
      </c>
      <c r="Q8" s="16">
        <f>SUMIFS(Expenses!$G:$G,Expenses!$B:$B,$Q$1,Expenses!$D:$D,B8,Expenses!$C:$C,$B$1)</f>
        <v>0</v>
      </c>
      <c r="R8" s="16">
        <f>SUMIFS(Expenses!$G:$G,Expenses!$B:$B,$R$1,Expenses!$D:$D,B8,Expenses!$C:$C,$B$1)</f>
        <v>0</v>
      </c>
      <c r="S8" s="16">
        <f>SUMIFS(Expenses!$G:$G,Expenses!$B:$B,$S$1,Expenses!$D:$D,B8,Expenses!$C:$C,$B$1)</f>
        <v>0</v>
      </c>
    </row>
    <row r="9" spans="1:19" x14ac:dyDescent="0.25">
      <c r="A9" s="17">
        <f t="shared" si="0"/>
        <v>0</v>
      </c>
      <c r="B9" s="19" t="s">
        <v>23</v>
      </c>
      <c r="C9" s="11">
        <f>SUMIFS(Expenses!$G:$G,Expenses!$B:$B,$C$1,Expenses!$D:$D,B9,Expenses!$C:$C,$B$1)</f>
        <v>0</v>
      </c>
      <c r="D9" s="11">
        <f>SUMIFS(Expenses!$G:$G,Expenses!$B:$B,$D$1,Expenses!$D:$D,B9,Expenses!$C:$C,$B$1)</f>
        <v>0</v>
      </c>
      <c r="E9" s="11">
        <f>SUMIFS(Expenses!$G:$G,Expenses!$B:$B,$E$1,Expenses!$D:$D,B9,Expenses!$C:$C,$B$1)</f>
        <v>0</v>
      </c>
      <c r="F9" s="11">
        <f>SUMIFS(Expenses!$G:$G,Expenses!$B:$B,$F$1,Expenses!$D:$D,B9,Expenses!$C:$C,$B$1)</f>
        <v>0</v>
      </c>
      <c r="G9" s="11">
        <f>SUMIFS(Expenses!$G:$G,Expenses!$B:$B,$G$1,Expenses!$D:$D,B9,Expenses!$C:$C,$B$1)</f>
        <v>0</v>
      </c>
      <c r="H9" s="11">
        <f>SUMIFS(Expenses!$G:$G,Expenses!$B:$B,$H$1,Expenses!$D:$D,B9,Expenses!$C:$C,$B$1)</f>
        <v>0</v>
      </c>
      <c r="I9" s="16">
        <f>SUMIFS(Expenses!$G:$G,Expenses!$B:$B,$I$1,Expenses!$D:$D,B9,Expenses!$C:$C,$B$1)</f>
        <v>0</v>
      </c>
      <c r="J9" s="16">
        <f>SUMIFS(Expenses!$G:$G,Expenses!$B:$B,$J$1,Expenses!$D:$D,B9,Expenses!$C:$C,$B$1)</f>
        <v>0</v>
      </c>
      <c r="K9" s="16">
        <f>SUMIFS(Expenses!$G:$G,Expenses!$B:$B,$K$1,Expenses!$D:$D,B9,Expenses!$C:$C,$B$1)</f>
        <v>0</v>
      </c>
      <c r="L9" s="16">
        <f>SUMIFS(Expenses!$G:$G,Expenses!$B:$B,$L$1,Expenses!$D:$D,B9,Expenses!$C:$C,$B$1)</f>
        <v>0</v>
      </c>
      <c r="M9" s="16">
        <f>SUMIFS(Expenses!$G:$G,Expenses!$B:$B,$M$1,Expenses!$D:$D,B9,Expenses!$C:$C,$B$1)</f>
        <v>0</v>
      </c>
      <c r="N9" s="16">
        <f>SUMIFS(Expenses!$G:$G,Expenses!$B:$B,$N$1,Expenses!$D:$D,B9,Expenses!$C:$C,$B$1)</f>
        <v>0</v>
      </c>
      <c r="O9" s="16">
        <f>SUMIFS(Expenses!$G:$G,Expenses!$B:$B,$O$1,Expenses!$D:$D,B9,Expenses!$C:$C,$B$1)</f>
        <v>0</v>
      </c>
      <c r="P9" s="16">
        <f>SUMIFS(Expenses!$G:$G,Expenses!$B:$B,$P$1,Expenses!$D:$D,B9,Expenses!$C:$C,$B$1)</f>
        <v>0</v>
      </c>
      <c r="Q9" s="16">
        <f>SUMIFS(Expenses!$G:$G,Expenses!$B:$B,$Q$1,Expenses!$D:$D,B9,Expenses!$C:$C,$B$1)</f>
        <v>0</v>
      </c>
      <c r="R9" s="16">
        <f>SUMIFS(Expenses!$G:$G,Expenses!$B:$B,$R$1,Expenses!$D:$D,B9,Expenses!$C:$C,$B$1)</f>
        <v>0</v>
      </c>
      <c r="S9" s="16">
        <f>SUMIFS(Expenses!$G:$G,Expenses!$B:$B,$S$1,Expenses!$D:$D,B9,Expenses!$C:$C,$B$1)</f>
        <v>0</v>
      </c>
    </row>
    <row r="10" spans="1:19" x14ac:dyDescent="0.25">
      <c r="A10" s="17">
        <f t="shared" si="0"/>
        <v>0</v>
      </c>
      <c r="B10" s="19" t="s">
        <v>15</v>
      </c>
      <c r="C10" s="11">
        <f>SUMIFS(Expenses!$G:$G,Expenses!$B:$B,$C$1,Expenses!$D:$D,B10,Expenses!$C:$C,$B$1)</f>
        <v>0</v>
      </c>
      <c r="D10" s="11">
        <f>SUMIFS(Expenses!$G:$G,Expenses!$B:$B,$D$1,Expenses!$D:$D,B10,Expenses!$C:$C,$B$1)</f>
        <v>0</v>
      </c>
      <c r="E10" s="11">
        <f>SUMIFS(Expenses!$G:$G,Expenses!$B:$B,$E$1,Expenses!$D:$D,B10,Expenses!$C:$C,$B$1)</f>
        <v>0</v>
      </c>
      <c r="F10" s="11">
        <f>SUMIFS(Expenses!$G:$G,Expenses!$B:$B,$F$1,Expenses!$D:$D,B10,Expenses!$C:$C,$B$1)</f>
        <v>0</v>
      </c>
      <c r="G10" s="11">
        <f>SUMIFS(Expenses!$G:$G,Expenses!$B:$B,$G$1,Expenses!$D:$D,B10,Expenses!$C:$C,$B$1)</f>
        <v>0</v>
      </c>
      <c r="H10" s="11">
        <f>SUMIFS(Expenses!$G:$G,Expenses!$B:$B,$H$1,Expenses!$D:$D,B10,Expenses!$C:$C,$B$1)</f>
        <v>0</v>
      </c>
      <c r="I10" s="16">
        <f>SUMIFS(Expenses!$G:$G,Expenses!$B:$B,$I$1,Expenses!$D:$D,B10,Expenses!$C:$C,$B$1)</f>
        <v>0</v>
      </c>
      <c r="J10" s="16">
        <f>SUMIFS(Expenses!$G:$G,Expenses!$B:$B,$J$1,Expenses!$D:$D,B10,Expenses!$C:$C,$B$1)</f>
        <v>0</v>
      </c>
      <c r="K10" s="16">
        <f>SUMIFS(Expenses!$G:$G,Expenses!$B:$B,$K$1,Expenses!$D:$D,B10,Expenses!$C:$C,$B$1)</f>
        <v>0</v>
      </c>
      <c r="L10" s="16">
        <f>SUMIFS(Expenses!$G:$G,Expenses!$B:$B,$L$1,Expenses!$D:$D,B10,Expenses!$C:$C,$B$1)</f>
        <v>0</v>
      </c>
      <c r="M10" s="16">
        <f>SUMIFS(Expenses!$G:$G,Expenses!$B:$B,$M$1,Expenses!$D:$D,B10,Expenses!$C:$C,$B$1)</f>
        <v>0</v>
      </c>
      <c r="N10" s="16">
        <f>SUMIFS(Expenses!$G:$G,Expenses!$B:$B,$N$1,Expenses!$D:$D,B10,Expenses!$C:$C,$B$1)</f>
        <v>0</v>
      </c>
      <c r="O10" s="16">
        <f>SUMIFS(Expenses!$G:$G,Expenses!$B:$B,$O$1,Expenses!$D:$D,B10,Expenses!$C:$C,$B$1)</f>
        <v>0</v>
      </c>
      <c r="P10" s="16">
        <f>SUMIFS(Expenses!$G:$G,Expenses!$B:$B,$P$1,Expenses!$D:$D,B10,Expenses!$C:$C,$B$1)</f>
        <v>0</v>
      </c>
      <c r="Q10" s="16">
        <f>SUMIFS(Expenses!$G:$G,Expenses!$B:$B,$Q$1,Expenses!$D:$D,B10,Expenses!$C:$C,$B$1)</f>
        <v>0</v>
      </c>
      <c r="R10" s="16">
        <f>SUMIFS(Expenses!$G:$G,Expenses!$B:$B,$R$1,Expenses!$D:$D,B10,Expenses!$C:$C,$B$1)</f>
        <v>0</v>
      </c>
      <c r="S10" s="16">
        <f>SUMIFS(Expenses!$G:$G,Expenses!$B:$B,$S$1,Expenses!$D:$D,B10,Expenses!$C:$C,$B$1)</f>
        <v>0</v>
      </c>
    </row>
    <row r="11" spans="1:19" x14ac:dyDescent="0.25">
      <c r="A11" s="17">
        <f t="shared" si="0"/>
        <v>0</v>
      </c>
      <c r="B11" s="19" t="s">
        <v>24</v>
      </c>
      <c r="C11" s="11">
        <f>SUMIFS(Expenses!$G:$G,Expenses!$B:$B,$C$1,Expenses!$D:$D,B11,Expenses!$C:$C,$B$1)</f>
        <v>0</v>
      </c>
      <c r="D11" s="11">
        <f>SUMIFS(Expenses!$G:$G,Expenses!$B:$B,$D$1,Expenses!$D:$D,B11,Expenses!$C:$C,$B$1)</f>
        <v>0</v>
      </c>
      <c r="E11" s="11">
        <f>SUMIFS(Expenses!$G:$G,Expenses!$B:$B,$E$1,Expenses!$D:$D,B11,Expenses!$C:$C,$B$1)</f>
        <v>0</v>
      </c>
      <c r="F11" s="11">
        <f>SUMIFS(Expenses!$G:$G,Expenses!$B:$B,$F$1,Expenses!$D:$D,B11,Expenses!$C:$C,$B$1)</f>
        <v>0</v>
      </c>
      <c r="G11" s="11">
        <f>SUMIFS(Expenses!$G:$G,Expenses!$B:$B,$G$1,Expenses!$D:$D,B11,Expenses!$C:$C,$B$1)</f>
        <v>0</v>
      </c>
      <c r="H11" s="11">
        <f>SUMIFS(Expenses!$G:$G,Expenses!$B:$B,$H$1,Expenses!$D:$D,B11,Expenses!$C:$C,$B$1)</f>
        <v>0</v>
      </c>
      <c r="I11" s="16">
        <f>SUMIFS(Expenses!$G:$G,Expenses!$B:$B,$I$1,Expenses!$D:$D,B11,Expenses!$C:$C,$B$1)</f>
        <v>0</v>
      </c>
      <c r="J11" s="16">
        <f>SUMIFS(Expenses!$G:$G,Expenses!$B:$B,$J$1,Expenses!$D:$D,B11,Expenses!$C:$C,$B$1)</f>
        <v>0</v>
      </c>
      <c r="K11" s="16">
        <f>SUMIFS(Expenses!$G:$G,Expenses!$B:$B,$K$1,Expenses!$D:$D,B11,Expenses!$C:$C,$B$1)</f>
        <v>0</v>
      </c>
      <c r="L11" s="16">
        <f>SUMIFS(Expenses!$G:$G,Expenses!$B:$B,$L$1,Expenses!$D:$D,B11,Expenses!$C:$C,$B$1)</f>
        <v>0</v>
      </c>
      <c r="M11" s="16">
        <f>SUMIFS(Expenses!$G:$G,Expenses!$B:$B,$M$1,Expenses!$D:$D,B11,Expenses!$C:$C,$B$1)</f>
        <v>0</v>
      </c>
      <c r="N11" s="16">
        <f>SUMIFS(Expenses!$G:$G,Expenses!$B:$B,$N$1,Expenses!$D:$D,B11,Expenses!$C:$C,$B$1)</f>
        <v>0</v>
      </c>
      <c r="O11" s="16">
        <f>SUMIFS(Expenses!$G:$G,Expenses!$B:$B,$O$1,Expenses!$D:$D,B11,Expenses!$C:$C,$B$1)</f>
        <v>0</v>
      </c>
      <c r="P11" s="16">
        <f>SUMIFS(Expenses!$G:$G,Expenses!$B:$B,$P$1,Expenses!$D:$D,B11,Expenses!$C:$C,$B$1)</f>
        <v>0</v>
      </c>
      <c r="Q11" s="16">
        <f>SUMIFS(Expenses!$G:$G,Expenses!$B:$B,$Q$1,Expenses!$D:$D,B11,Expenses!$C:$C,$B$1)</f>
        <v>0</v>
      </c>
      <c r="R11" s="16">
        <f>SUMIFS(Expenses!$G:$G,Expenses!$B:$B,$R$1,Expenses!$D:$D,B11,Expenses!$C:$C,$B$1)</f>
        <v>0</v>
      </c>
      <c r="S11" s="16">
        <f>SUMIFS(Expenses!$G:$G,Expenses!$B:$B,$S$1,Expenses!$D:$D,B11,Expenses!$C:$C,$B$1)</f>
        <v>0</v>
      </c>
    </row>
    <row r="12" spans="1:19" x14ac:dyDescent="0.25">
      <c r="A12" s="17">
        <f t="shared" si="0"/>
        <v>8640</v>
      </c>
      <c r="B12" s="19" t="s">
        <v>22</v>
      </c>
      <c r="C12" s="11">
        <f>SUMIFS(Expenses!$G:$G,Expenses!$B:$B,$C$1,Expenses!$D:$D,B12,Expenses!$C:$C,$B$1)</f>
        <v>0</v>
      </c>
      <c r="D12" s="11">
        <f>SUMIFS(Expenses!$G:$G,Expenses!$B:$B,$D$1,Expenses!$D:$D,B12,Expenses!$C:$C,$B$1)</f>
        <v>0</v>
      </c>
      <c r="E12" s="11">
        <f>SUMIFS(Expenses!$G:$G,Expenses!$B:$B,$E$1,Expenses!$D:$D,B12,Expenses!$C:$C,$B$1)</f>
        <v>0</v>
      </c>
      <c r="F12" s="11">
        <f>SUMIFS(Expenses!$G:$G,Expenses!$B:$B,$F$1,Expenses!$D:$D,B12,Expenses!$C:$C,$B$1)</f>
        <v>0</v>
      </c>
      <c r="G12" s="11">
        <f>SUMIFS(Expenses!$G:$G,Expenses!$B:$B,$G$1,Expenses!$D:$D,B12,Expenses!$C:$C,$B$1)</f>
        <v>0</v>
      </c>
      <c r="H12" s="11">
        <f>SUMIFS(Expenses!$G:$G,Expenses!$B:$B,$H$1,Expenses!$D:$D,B12,Expenses!$C:$C,$B$1)</f>
        <v>0</v>
      </c>
      <c r="I12" s="16">
        <f>SUMIFS(Expenses!$G:$G,Expenses!$B:$B,$I$1,Expenses!$D:$D,B12,Expenses!$C:$C,$B$1)</f>
        <v>0</v>
      </c>
      <c r="J12" s="16">
        <f>SUMIFS(Expenses!$G:$G,Expenses!$B:$B,$J$1,Expenses!$D:$D,B12,Expenses!$C:$C,$B$1)</f>
        <v>0</v>
      </c>
      <c r="K12" s="16">
        <f>SUMIFS(Expenses!$G:$G,Expenses!$B:$B,$K$1,Expenses!$D:$D,B12,Expenses!$C:$C,$B$1)</f>
        <v>0</v>
      </c>
      <c r="L12" s="16">
        <f>SUMIFS(Expenses!$G:$G,Expenses!$B:$B,$L$1,Expenses!$D:$D,B12,Expenses!$C:$C,$B$1)</f>
        <v>1483</v>
      </c>
      <c r="M12" s="16">
        <f>SUMIFS(Expenses!$G:$G,Expenses!$B:$B,$M$1,Expenses!$D:$D,B12,Expenses!$C:$C,$B$1)</f>
        <v>5609</v>
      </c>
      <c r="N12" s="16">
        <f>SUMIFS(Expenses!$G:$G,Expenses!$B:$B,$N$1,Expenses!$D:$D,B12,Expenses!$C:$C,$B$1)</f>
        <v>1548</v>
      </c>
      <c r="O12" s="16">
        <f>SUMIFS(Expenses!$G:$G,Expenses!$B:$B,$O$1,Expenses!$D:$D,B12,Expenses!$C:$C,$B$1)</f>
        <v>0</v>
      </c>
      <c r="P12" s="16">
        <f>SUMIFS(Expenses!$G:$G,Expenses!$B:$B,$P$1,Expenses!$D:$D,B12,Expenses!$C:$C,$B$1)</f>
        <v>0</v>
      </c>
      <c r="Q12" s="16">
        <f>SUMIFS(Expenses!$G:$G,Expenses!$B:$B,$Q$1,Expenses!$D:$D,B12,Expenses!$C:$C,$B$1)</f>
        <v>0</v>
      </c>
      <c r="R12" s="16">
        <f>SUMIFS(Expenses!$G:$G,Expenses!$B:$B,$R$1,Expenses!$D:$D,B12,Expenses!$C:$C,$B$1)</f>
        <v>0</v>
      </c>
      <c r="S12" s="16">
        <f>SUMIFS(Expenses!$G:$G,Expenses!$B:$B,$S$1,Expenses!$D:$D,B12,Expenses!$C:$C,$B$1)</f>
        <v>0</v>
      </c>
    </row>
    <row r="13" spans="1:19" x14ac:dyDescent="0.25">
      <c r="A13" s="17">
        <f t="shared" si="0"/>
        <v>0</v>
      </c>
      <c r="B13" s="18" t="s">
        <v>27</v>
      </c>
      <c r="C13" s="11">
        <f>SUMIFS(Expenses!$G:$G,Expenses!$B:$B,$C$1,Expenses!$D:$D,B13,Expenses!$C:$C,$B$1)</f>
        <v>0</v>
      </c>
      <c r="D13" s="11">
        <f>SUMIFS(Expenses!$G:$G,Expenses!$B:$B,$D$1,Expenses!$D:$D,B13,Expenses!$C:$C,$B$1)</f>
        <v>0</v>
      </c>
      <c r="E13" s="11">
        <f>SUMIFS(Expenses!$G:$G,Expenses!$B:$B,$E$1,Expenses!$D:$D,B13,Expenses!$C:$C,$B$1)</f>
        <v>0</v>
      </c>
      <c r="F13" s="11">
        <f>SUMIFS(Expenses!$G:$G,Expenses!$B:$B,$F$1,Expenses!$D:$D,B13,Expenses!$C:$C,$B$1)</f>
        <v>0</v>
      </c>
      <c r="G13" s="11">
        <f>SUMIFS(Expenses!$G:$G,Expenses!$B:$B,$G$1,Expenses!$D:$D,B13,Expenses!$C:$C,$B$1)</f>
        <v>0</v>
      </c>
      <c r="H13" s="11">
        <f>SUMIFS(Expenses!$G:$G,Expenses!$B:$B,$H$1,Expenses!$D:$D,B13,Expenses!$C:$C,$B$1)</f>
        <v>0</v>
      </c>
      <c r="I13" s="16">
        <f>SUMIFS(Expenses!$G:$G,Expenses!$B:$B,$I$1,Expenses!$D:$D,B13,Expenses!$C:$C,$B$1)</f>
        <v>0</v>
      </c>
      <c r="J13" s="16">
        <f>SUMIFS(Expenses!$G:$G,Expenses!$B:$B,$J$1,Expenses!$D:$D,B13,Expenses!$C:$C,$B$1)</f>
        <v>0</v>
      </c>
      <c r="K13" s="16">
        <f>SUMIFS(Expenses!$G:$G,Expenses!$B:$B,$K$1,Expenses!$D:$D,B13,Expenses!$C:$C,$B$1)</f>
        <v>0</v>
      </c>
      <c r="L13" s="16">
        <f>SUMIFS(Expenses!$G:$G,Expenses!$B:$B,$L$1,Expenses!$D:$D,B13,Expenses!$C:$C,$B$1)</f>
        <v>0</v>
      </c>
      <c r="M13" s="16">
        <f>SUMIFS(Expenses!$G:$G,Expenses!$B:$B,$M$1,Expenses!$D:$D,B13,Expenses!$C:$C,$B$1)</f>
        <v>0</v>
      </c>
      <c r="N13" s="16">
        <f>SUMIFS(Expenses!$G:$G,Expenses!$B:$B,$N$1,Expenses!$D:$D,B13,Expenses!$C:$C,$B$1)</f>
        <v>0</v>
      </c>
      <c r="O13" s="16">
        <f>SUMIFS(Expenses!$G:$G,Expenses!$B:$B,$O$1,Expenses!$D:$D,B13,Expenses!$C:$C,$B$1)</f>
        <v>0</v>
      </c>
      <c r="P13" s="16">
        <f>SUMIFS(Expenses!$G:$G,Expenses!$B:$B,$P$1,Expenses!$D:$D,B13,Expenses!$C:$C,$B$1)</f>
        <v>0</v>
      </c>
      <c r="Q13" s="16">
        <f>SUMIFS(Expenses!$G:$G,Expenses!$B:$B,$Q$1,Expenses!$D:$D,B13,Expenses!$C:$C,$B$1)</f>
        <v>0</v>
      </c>
      <c r="R13" s="16">
        <f>SUMIFS(Expenses!$G:$G,Expenses!$B:$B,$R$1,Expenses!$D:$D,B13,Expenses!$C:$C,$B$1)</f>
        <v>0</v>
      </c>
      <c r="S13" s="16">
        <f>SUMIFS(Expenses!$G:$G,Expenses!$B:$B,$S$1,Expenses!$D:$D,B13,Expenses!$C:$C,$B$1)</f>
        <v>0</v>
      </c>
    </row>
    <row r="14" spans="1:19" x14ac:dyDescent="0.25">
      <c r="A14" s="17">
        <f t="shared" si="0"/>
        <v>0</v>
      </c>
      <c r="B14" s="18" t="s">
        <v>46</v>
      </c>
      <c r="C14" s="11">
        <f>SUMIFS(Expenses!$G:$G,Expenses!$B:$B,$C$1,Expenses!$D:$D,B14,Expenses!$C:$C,$B$1)</f>
        <v>0</v>
      </c>
      <c r="D14" s="11">
        <f>SUMIFS(Expenses!$G:$G,Expenses!$B:$B,$D$1,Expenses!$D:$D,B14,Expenses!$C:$C,$B$1)</f>
        <v>0</v>
      </c>
      <c r="E14" s="11">
        <f>SUMIFS(Expenses!$G:$G,Expenses!$B:$B,$E$1,Expenses!$D:$D,B14,Expenses!$C:$C,$B$1)</f>
        <v>0</v>
      </c>
      <c r="F14" s="11">
        <f>SUMIFS(Expenses!$G:$G,Expenses!$B:$B,$F$1,Expenses!$D:$D,B14,Expenses!$C:$C,$B$1)</f>
        <v>0</v>
      </c>
      <c r="G14" s="11">
        <f>SUMIFS(Expenses!$G:$G,Expenses!$B:$B,$G$1,Expenses!$D:$D,B14,Expenses!$C:$C,$B$1)</f>
        <v>0</v>
      </c>
      <c r="H14" s="11">
        <f>SUMIFS(Expenses!$G:$G,Expenses!$B:$B,$H$1,Expenses!$D:$D,B14,Expenses!$C:$C,$B$1)</f>
        <v>0</v>
      </c>
      <c r="I14" s="16">
        <f>SUMIFS(Expenses!$G:$G,Expenses!$B:$B,$I$1,Expenses!$D:$D,B14,Expenses!$C:$C,$B$1)</f>
        <v>0</v>
      </c>
      <c r="J14" s="16">
        <f>SUMIFS(Expenses!$G:$G,Expenses!$B:$B,$J$1,Expenses!$D:$D,B14,Expenses!$C:$C,$B$1)</f>
        <v>0</v>
      </c>
      <c r="K14" s="16">
        <f>SUMIFS(Expenses!$G:$G,Expenses!$B:$B,$K$1,Expenses!$D:$D,B14,Expenses!$C:$C,$B$1)</f>
        <v>0</v>
      </c>
      <c r="L14" s="16">
        <f>SUMIFS(Expenses!$G:$G,Expenses!$B:$B,$L$1,Expenses!$D:$D,B14,Expenses!$C:$C,$B$1)</f>
        <v>0</v>
      </c>
      <c r="M14" s="16">
        <f>SUMIFS(Expenses!$G:$G,Expenses!$B:$B,$M$1,Expenses!$D:$D,B14,Expenses!$C:$C,$B$1)</f>
        <v>0</v>
      </c>
      <c r="N14" s="16">
        <f>SUMIFS(Expenses!$G:$G,Expenses!$B:$B,$N$1,Expenses!$D:$D,B14,Expenses!$C:$C,$B$1)</f>
        <v>0</v>
      </c>
      <c r="O14" s="16">
        <f>SUMIFS(Expenses!$G:$G,Expenses!$B:$B,$O$1,Expenses!$D:$D,B14,Expenses!$C:$C,$B$1)</f>
        <v>0</v>
      </c>
      <c r="P14" s="16">
        <f>SUMIFS(Expenses!$G:$G,Expenses!$B:$B,$P$1,Expenses!$D:$D,B14,Expenses!$C:$C,$B$1)</f>
        <v>0</v>
      </c>
      <c r="Q14" s="16">
        <f>SUMIFS(Expenses!$G:$G,Expenses!$B:$B,$Q$1,Expenses!$D:$D,B14,Expenses!$C:$C,$B$1)</f>
        <v>0</v>
      </c>
      <c r="R14" s="16">
        <f>SUMIFS(Expenses!$G:$G,Expenses!$B:$B,$R$1,Expenses!$D:$D,B14,Expenses!$C:$C,$B$1)</f>
        <v>0</v>
      </c>
      <c r="S14" s="16">
        <f>SUMIFS(Expenses!$G:$G,Expenses!$B:$B,$S$1,Expenses!$D:$D,B14,Expenses!$C:$C,$B$1)</f>
        <v>0</v>
      </c>
    </row>
    <row r="15" spans="1:19" x14ac:dyDescent="0.25">
      <c r="A15" s="17">
        <f t="shared" si="0"/>
        <v>0</v>
      </c>
      <c r="B15" s="18" t="s">
        <v>52</v>
      </c>
      <c r="C15" s="11">
        <f>SUMIFS(Expenses!$G:$G,Expenses!$B:$B,$C$1,Expenses!$D:$D,B15,Expenses!$C:$C,$B$1)</f>
        <v>0</v>
      </c>
      <c r="D15" s="11">
        <f>SUMIFS(Expenses!$G:$G,Expenses!$B:$B,$D$1,Expenses!$D:$D,B15,Expenses!$C:$C,$B$1)</f>
        <v>0</v>
      </c>
      <c r="E15" s="11">
        <f>SUMIFS(Expenses!$G:$G,Expenses!$B:$B,$E$1,Expenses!$D:$D,B15,Expenses!$C:$C,$B$1)</f>
        <v>0</v>
      </c>
      <c r="F15" s="11">
        <f>SUMIFS(Expenses!$G:$G,Expenses!$B:$B,$F$1,Expenses!$D:$D,B15,Expenses!$C:$C,$B$1)</f>
        <v>0</v>
      </c>
      <c r="G15" s="11">
        <f>SUMIFS(Expenses!$G:$G,Expenses!$B:$B,$G$1,Expenses!$D:$D,B15,Expenses!$C:$C,$B$1)</f>
        <v>0</v>
      </c>
      <c r="H15" s="11">
        <f>SUMIFS(Expenses!$G:$G,Expenses!$B:$B,$H$1,Expenses!$D:$D,B15,Expenses!$C:$C,$B$1)</f>
        <v>0</v>
      </c>
      <c r="I15" s="16">
        <f>SUMIFS(Expenses!$G:$G,Expenses!$B:$B,$I$1,Expenses!$D:$D,B15,Expenses!$C:$C,$B$1)</f>
        <v>0</v>
      </c>
      <c r="J15" s="16">
        <f>SUMIFS(Expenses!$G:$G,Expenses!$B:$B,$J$1,Expenses!$D:$D,B15,Expenses!$C:$C,$B$1)</f>
        <v>0</v>
      </c>
      <c r="K15" s="16">
        <f>SUMIFS(Expenses!$G:$G,Expenses!$B:$B,$K$1,Expenses!$D:$D,B15,Expenses!$C:$C,$B$1)</f>
        <v>0</v>
      </c>
      <c r="L15" s="16">
        <f>SUMIFS(Expenses!$G:$G,Expenses!$B:$B,$L$1,Expenses!$D:$D,B15,Expenses!$C:$C,$B$1)</f>
        <v>0</v>
      </c>
      <c r="M15" s="16">
        <f>SUMIFS(Expenses!$G:$G,Expenses!$B:$B,$M$1,Expenses!$D:$D,B15,Expenses!$C:$C,$B$1)</f>
        <v>0</v>
      </c>
      <c r="N15" s="16">
        <f>SUMIFS(Expenses!$G:$G,Expenses!$B:$B,$N$1,Expenses!$D:$D,B15,Expenses!$C:$C,$B$1)</f>
        <v>0</v>
      </c>
      <c r="O15" s="16">
        <f>SUMIFS(Expenses!$G:$G,Expenses!$B:$B,$O$1,Expenses!$D:$D,B15,Expenses!$C:$C,$B$1)</f>
        <v>0</v>
      </c>
      <c r="P15" s="16">
        <f>SUMIFS(Expenses!$G:$G,Expenses!$B:$B,$P$1,Expenses!$D:$D,B15,Expenses!$C:$C,$B$1)</f>
        <v>0</v>
      </c>
      <c r="Q15" s="16">
        <f>SUMIFS(Expenses!$G:$G,Expenses!$B:$B,$Q$1,Expenses!$D:$D,B15,Expenses!$C:$C,$B$1)</f>
        <v>0</v>
      </c>
      <c r="R15" s="16">
        <f>SUMIFS(Expenses!$G:$G,Expenses!$B:$B,$R$1,Expenses!$D:$D,B15,Expenses!$C:$C,$B$1)</f>
        <v>0</v>
      </c>
      <c r="S15" s="16">
        <f>SUMIFS(Expenses!$G:$G,Expenses!$B:$B,$S$1,Expenses!$D:$D,B15,Expenses!$C:$C,$B$1)</f>
        <v>0</v>
      </c>
    </row>
    <row r="16" spans="1:19" x14ac:dyDescent="0.25">
      <c r="A16" s="17">
        <f t="shared" si="0"/>
        <v>183500</v>
      </c>
      <c r="B16" s="18" t="s">
        <v>54</v>
      </c>
      <c r="C16" s="11">
        <f>SUMIFS(Expenses!$G:$G,Expenses!$B:$B,$C$1,Expenses!$D:$D,B16,Expenses!$C:$C,$B$1)</f>
        <v>0</v>
      </c>
      <c r="D16" s="11">
        <f>SUMIFS(Expenses!$G:$G,Expenses!$B:$B,$D$1,Expenses!$D:$D,B16,Expenses!$C:$C,$B$1)</f>
        <v>50000</v>
      </c>
      <c r="E16" s="11">
        <f>SUMIFS(Expenses!$G:$G,Expenses!$B:$B,$E$1,Expenses!$D:$D,B16,Expenses!$C:$C,$B$1)</f>
        <v>20000</v>
      </c>
      <c r="F16" s="11">
        <f>SUMIFS(Expenses!$G:$G,Expenses!$B:$B,$F$1,Expenses!$D:$D,B16,Expenses!$C:$C,$B$1)</f>
        <v>2000</v>
      </c>
      <c r="G16" s="11">
        <f>SUMIFS(Expenses!$G:$G,Expenses!$B:$B,$G$1,Expenses!$D:$D,B16,Expenses!$C:$C,$B$1)</f>
        <v>30000</v>
      </c>
      <c r="H16" s="11">
        <f>SUMIFS(Expenses!$G:$G,Expenses!$B:$B,$H$1,Expenses!$D:$D,B16,Expenses!$C:$C,$B$1)</f>
        <v>81500</v>
      </c>
      <c r="I16" s="16">
        <f>SUMIFS(Expenses!$G:$G,Expenses!$B:$B,$I$1,Expenses!$D:$D,B16,Expenses!$C:$C,$B$1)</f>
        <v>0</v>
      </c>
      <c r="J16" s="16">
        <f>SUMIFS(Expenses!$G:$G,Expenses!$B:$B,$J$1,Expenses!$D:$D,B16,Expenses!$C:$C,$B$1)</f>
        <v>0</v>
      </c>
      <c r="K16" s="16">
        <f>SUMIFS(Expenses!$G:$G,Expenses!$B:$B,$K$1,Expenses!$D:$D,B16,Expenses!$C:$C,$B$1)</f>
        <v>0</v>
      </c>
      <c r="L16" s="16">
        <f>SUMIFS(Expenses!$G:$G,Expenses!$B:$B,$L$1,Expenses!$D:$D,B16,Expenses!$C:$C,$B$1)</f>
        <v>0</v>
      </c>
      <c r="M16" s="16">
        <f>SUMIFS(Expenses!$G:$G,Expenses!$B:$B,$M$1,Expenses!$D:$D,B16,Expenses!$C:$C,$B$1)</f>
        <v>0</v>
      </c>
      <c r="N16" s="16">
        <f>SUMIFS(Expenses!$G:$G,Expenses!$B:$B,$N$1,Expenses!$D:$D,B16,Expenses!$C:$C,$B$1)</f>
        <v>0</v>
      </c>
      <c r="O16" s="16">
        <f>SUMIFS(Expenses!$G:$G,Expenses!$B:$B,$O$1,Expenses!$D:$D,B16,Expenses!$C:$C,$B$1)</f>
        <v>0</v>
      </c>
      <c r="P16" s="16">
        <f>SUMIFS(Expenses!$G:$G,Expenses!$B:$B,$P$1,Expenses!$D:$D,B16,Expenses!$C:$C,$B$1)</f>
        <v>0</v>
      </c>
      <c r="Q16" s="16">
        <f>SUMIFS(Expenses!$G:$G,Expenses!$B:$B,$Q$1,Expenses!$D:$D,B16,Expenses!$C:$C,$B$1)</f>
        <v>0</v>
      </c>
      <c r="R16" s="16">
        <f>SUMIFS(Expenses!$G:$G,Expenses!$B:$B,$R$1,Expenses!$D:$D,B16,Expenses!$C:$C,$B$1)</f>
        <v>0</v>
      </c>
      <c r="S16" s="16">
        <f>SUMIFS(Expenses!$G:$G,Expenses!$B:$B,$S$1,Expenses!$D:$D,B16,Expenses!$C:$C,$B$1)</f>
        <v>0</v>
      </c>
    </row>
    <row r="17" spans="1:19" x14ac:dyDescent="0.25">
      <c r="A17" s="17">
        <f t="shared" si="0"/>
        <v>962000</v>
      </c>
      <c r="B17" s="18" t="s">
        <v>53</v>
      </c>
      <c r="C17" s="11">
        <f>SUMIFS(Expenses!$G:$G,Expenses!$B:$B,$C$1,Expenses!$D:$D,B17,Expenses!$C:$C,$B$1)</f>
        <v>200000</v>
      </c>
      <c r="D17" s="11">
        <f>SUMIFS(Expenses!$G:$G,Expenses!$B:$B,$D$1,Expenses!$D:$D,B17,Expenses!$C:$C,$B$1)</f>
        <v>300000</v>
      </c>
      <c r="E17" s="11">
        <f>SUMIFS(Expenses!$G:$G,Expenses!$B:$B,$E$1,Expenses!$D:$D,B17,Expenses!$C:$C,$B$1)</f>
        <v>257000</v>
      </c>
      <c r="F17" s="11">
        <f>SUMIFS(Expenses!$G:$G,Expenses!$B:$B,$F$1,Expenses!$D:$D,B17,Expenses!$C:$C,$B$1)</f>
        <v>205000</v>
      </c>
      <c r="G17" s="11">
        <f>SUMIFS(Expenses!$G:$G,Expenses!$B:$B,$G$1,Expenses!$D:$D,B17,Expenses!$C:$C,$B$1)</f>
        <v>0</v>
      </c>
      <c r="H17" s="11">
        <f>SUMIFS(Expenses!$G:$G,Expenses!$B:$B,$H$1,Expenses!$D:$D,B17,Expenses!$C:$C,$B$1)</f>
        <v>0</v>
      </c>
      <c r="I17" s="16">
        <f>SUMIFS(Expenses!$G:$G,Expenses!$B:$B,$I$1,Expenses!$D:$D,B17,Expenses!$C:$C,$B$1)</f>
        <v>0</v>
      </c>
      <c r="J17" s="16">
        <f>SUMIFS(Expenses!$G:$G,Expenses!$B:$B,$J$1,Expenses!$D:$D,B17,Expenses!$C:$C,$B$1)</f>
        <v>0</v>
      </c>
      <c r="K17" s="16">
        <f>SUMIFS(Expenses!$G:$G,Expenses!$B:$B,$K$1,Expenses!$D:$D,B17,Expenses!$C:$C,$B$1)</f>
        <v>0</v>
      </c>
      <c r="L17" s="16">
        <f>SUMIFS(Expenses!$G:$G,Expenses!$B:$B,$L$1,Expenses!$D:$D,B17,Expenses!$C:$C,$B$1)</f>
        <v>0</v>
      </c>
      <c r="M17" s="16">
        <f>SUMIFS(Expenses!$G:$G,Expenses!$B:$B,$M$1,Expenses!$D:$D,B17,Expenses!$C:$C,$B$1)</f>
        <v>0</v>
      </c>
      <c r="N17" s="16">
        <f>SUMIFS(Expenses!$G:$G,Expenses!$B:$B,$N$1,Expenses!$D:$D,B17,Expenses!$C:$C,$B$1)</f>
        <v>0</v>
      </c>
      <c r="O17" s="16">
        <f>SUMIFS(Expenses!$G:$G,Expenses!$B:$B,$O$1,Expenses!$D:$D,B17,Expenses!$C:$C,$B$1)</f>
        <v>0</v>
      </c>
      <c r="P17" s="16">
        <f>SUMIFS(Expenses!$G:$G,Expenses!$B:$B,$P$1,Expenses!$D:$D,B17,Expenses!$C:$C,$B$1)</f>
        <v>0</v>
      </c>
      <c r="Q17" s="16">
        <f>SUMIFS(Expenses!$G:$G,Expenses!$B:$B,$Q$1,Expenses!$D:$D,B17,Expenses!$C:$C,$B$1)</f>
        <v>0</v>
      </c>
      <c r="R17" s="16">
        <f>SUMIFS(Expenses!$G:$G,Expenses!$B:$B,$R$1,Expenses!$D:$D,B17,Expenses!$C:$C,$B$1)</f>
        <v>0</v>
      </c>
      <c r="S17" s="16">
        <f>SUMIFS(Expenses!$G:$G,Expenses!$B:$B,$S$1,Expenses!$D:$D,B17,Expenses!$C:$C,$B$1)</f>
        <v>0</v>
      </c>
    </row>
    <row r="18" spans="1:19" ht="20.25" thickBot="1" x14ac:dyDescent="0.3">
      <c r="A18" s="17">
        <f t="shared" si="0"/>
        <v>162578</v>
      </c>
      <c r="B18" s="18" t="s">
        <v>56</v>
      </c>
      <c r="C18" s="11">
        <f>SUMIFS(Expenses!$G:$G,Expenses!$B:$B,$C$1,Expenses!$D:$D,B18,Expenses!$C:$C,$B$1)</f>
        <v>0</v>
      </c>
      <c r="D18" s="11">
        <f>SUMIFS(Expenses!$G:$G,Expenses!$B:$B,$D$1,Expenses!$D:$D,B18,Expenses!$C:$C,$B$1)</f>
        <v>0</v>
      </c>
      <c r="E18" s="11">
        <f>SUMIFS(Expenses!$G:$G,Expenses!$B:$B,$E$1,Expenses!$D:$D,B18,Expenses!$C:$C,$B$1)</f>
        <v>0</v>
      </c>
      <c r="F18" s="11">
        <f>SUMIFS(Expenses!$G:$G,Expenses!$B:$B,$F$1,Expenses!$D:$D,B18,Expenses!$C:$C,$B$1)</f>
        <v>0</v>
      </c>
      <c r="G18" s="11">
        <f>SUMIFS(Expenses!$G:$G,Expenses!$B:$B,$G$1,Expenses!$D:$D,B18,Expenses!$C:$C,$B$1)</f>
        <v>0</v>
      </c>
      <c r="H18" s="11">
        <f>SUMIFS(Expenses!$G:$G,Expenses!$B:$B,$H$1,Expenses!$D:$D,B18,Expenses!$C:$C,$B$1)</f>
        <v>61541</v>
      </c>
      <c r="I18" s="16">
        <f>SUMIFS(Expenses!$G:$G,Expenses!$B:$B,$I$1,Expenses!$D:$D,B18,Expenses!$C:$C,$B$1)</f>
        <v>101037</v>
      </c>
      <c r="J18" s="16">
        <f>SUMIFS(Expenses!$G:$G,Expenses!$B:$B,$J$1,Expenses!$D:$D,B18,Expenses!$C:$C,$B$1)</f>
        <v>0</v>
      </c>
      <c r="K18" s="16">
        <f>SUMIFS(Expenses!$G:$G,Expenses!$B:$B,$K$1,Expenses!$D:$D,B18,Expenses!$C:$C,$B$1)</f>
        <v>0</v>
      </c>
      <c r="L18" s="16">
        <f>SUMIFS(Expenses!$G:$G,Expenses!$B:$B,$L$1,Expenses!$D:$D,B18,Expenses!$C:$C,$B$1)</f>
        <v>0</v>
      </c>
      <c r="M18" s="16">
        <f>SUMIFS(Expenses!$G:$G,Expenses!$B:$B,$M$1,Expenses!$D:$D,B18,Expenses!$C:$C,$B$1)</f>
        <v>0</v>
      </c>
      <c r="N18" s="16">
        <f>SUMIFS(Expenses!$G:$G,Expenses!$B:$B,$N$1,Expenses!$D:$D,B18,Expenses!$C:$C,$B$1)</f>
        <v>0</v>
      </c>
      <c r="O18" s="16">
        <f>SUMIFS(Expenses!$G:$G,Expenses!$B:$B,$O$1,Expenses!$D:$D,$B$2,Expenses!$C:$C,$B$1)</f>
        <v>0</v>
      </c>
      <c r="P18" s="16">
        <f>SUMIFS(Expenses!$G:$G,Expenses!$B:$B,$P$1,Expenses!$D:$D,B18,Expenses!$C:$C,$B$1)</f>
        <v>0</v>
      </c>
      <c r="Q18" s="16">
        <f>SUMIFS(Expenses!$G:$G,Expenses!$B:$B,$Q$1,Expenses!$D:$D,B18,Expenses!$C:$C,$B$1)</f>
        <v>0</v>
      </c>
      <c r="R18" s="16">
        <f>SUMIFS(Expenses!$G:$G,Expenses!$B:$B,$R$1,Expenses!$D:$D,B18,Expenses!$C:$C,$B$1)</f>
        <v>0</v>
      </c>
      <c r="S18" s="16">
        <f>SUMIFS(Expenses!$G:$G,Expenses!$B:$B,$S$1,Expenses!$D:$D,B18,Expenses!$C:$C,$B$1)</f>
        <v>0</v>
      </c>
    </row>
    <row r="19" spans="1:19" ht="20.25" thickBot="1" x14ac:dyDescent="0.3">
      <c r="A19" s="24">
        <f>SUM(A2:A18)</f>
        <v>3240250</v>
      </c>
      <c r="B19" s="24" t="s">
        <v>35</v>
      </c>
      <c r="C19" s="24">
        <f t="shared" ref="C19:N19" si="1">SUM(C2:C18)</f>
        <v>200000</v>
      </c>
      <c r="D19" s="24">
        <f t="shared" si="1"/>
        <v>350000</v>
      </c>
      <c r="E19" s="24">
        <f t="shared" si="1"/>
        <v>551054</v>
      </c>
      <c r="F19" s="24">
        <f t="shared" si="1"/>
        <v>300900</v>
      </c>
      <c r="G19" s="24">
        <f t="shared" si="1"/>
        <v>65000</v>
      </c>
      <c r="H19" s="24">
        <f t="shared" si="1"/>
        <v>266809</v>
      </c>
      <c r="I19" s="24">
        <f t="shared" si="1"/>
        <v>166237</v>
      </c>
      <c r="J19" s="24">
        <f t="shared" si="1"/>
        <v>0</v>
      </c>
      <c r="K19" s="24">
        <f t="shared" si="1"/>
        <v>0</v>
      </c>
      <c r="L19" s="24">
        <f t="shared" si="1"/>
        <v>200413</v>
      </c>
      <c r="M19" s="24">
        <f t="shared" si="1"/>
        <v>553084</v>
      </c>
      <c r="N19" s="24">
        <f t="shared" si="1"/>
        <v>414753</v>
      </c>
      <c r="O19" s="24">
        <f t="shared" ref="O19:S19" si="2">SUM(O2:O18)</f>
        <v>172000</v>
      </c>
      <c r="P19" s="24">
        <f t="shared" si="2"/>
        <v>0</v>
      </c>
      <c r="Q19" s="24">
        <f t="shared" si="2"/>
        <v>0</v>
      </c>
      <c r="R19" s="24">
        <f t="shared" si="2"/>
        <v>0</v>
      </c>
      <c r="S19" s="24">
        <f t="shared" si="2"/>
        <v>0</v>
      </c>
    </row>
    <row r="20" spans="1:19" ht="20.25" thickBot="1" x14ac:dyDescent="0.3"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s="38" customFormat="1" ht="26.25" thickBot="1" x14ac:dyDescent="0.3">
      <c r="A21" s="12" t="s">
        <v>13</v>
      </c>
      <c r="B21" s="12" t="s">
        <v>19</v>
      </c>
      <c r="C21" s="13">
        <f>C1</f>
        <v>43678</v>
      </c>
      <c r="D21" s="13">
        <f>D1</f>
        <v>43709</v>
      </c>
      <c r="E21" s="13">
        <f>E1</f>
        <v>43739</v>
      </c>
      <c r="F21" s="13">
        <f t="shared" ref="F21:N21" si="3">F1</f>
        <v>43770</v>
      </c>
      <c r="G21" s="13">
        <f t="shared" si="3"/>
        <v>43800</v>
      </c>
      <c r="H21" s="13">
        <f t="shared" si="3"/>
        <v>43831</v>
      </c>
      <c r="I21" s="13">
        <f t="shared" si="3"/>
        <v>43862</v>
      </c>
      <c r="J21" s="13">
        <f t="shared" si="3"/>
        <v>43891</v>
      </c>
      <c r="K21" s="13">
        <f t="shared" si="3"/>
        <v>43922</v>
      </c>
      <c r="L21" s="13">
        <f t="shared" si="3"/>
        <v>43952</v>
      </c>
      <c r="M21" s="13">
        <f t="shared" si="3"/>
        <v>43983</v>
      </c>
      <c r="N21" s="13">
        <f t="shared" si="3"/>
        <v>44013</v>
      </c>
      <c r="O21" s="13">
        <f>O1</f>
        <v>44044</v>
      </c>
      <c r="P21" s="13">
        <f>P1</f>
        <v>44075</v>
      </c>
      <c r="Q21" s="13">
        <f>Q1</f>
        <v>44105</v>
      </c>
      <c r="R21" s="13">
        <f t="shared" ref="R21:S21" si="4">R1</f>
        <v>44136</v>
      </c>
      <c r="S21" s="13">
        <f t="shared" si="4"/>
        <v>44166</v>
      </c>
    </row>
    <row r="22" spans="1:19" x14ac:dyDescent="0.25">
      <c r="A22" s="14">
        <f t="shared" ref="A22:A34" si="5">SUM(C22:AA22)</f>
        <v>0</v>
      </c>
      <c r="B22" s="15" t="s">
        <v>21</v>
      </c>
      <c r="C22" s="16">
        <f>SUMIFS(Expenses!$G:$G,Expenses!$B:$B,$C$1,Expenses!$D:$D,B22,Expenses!$C:$C,$B$21)</f>
        <v>0</v>
      </c>
      <c r="D22" s="16">
        <f>SUMIFS(Expenses!$G:$G,Expenses!$B:$B,$D$1,Expenses!$D:$D,B22,Expenses!$C:$C,$B$21)</f>
        <v>0</v>
      </c>
      <c r="E22" s="16">
        <f>SUMIFS(Expenses!$G:$G,Expenses!$B:$B,$E$1,Expenses!$D:$D,B22,Expenses!$C:$C,$B$21)</f>
        <v>0</v>
      </c>
      <c r="F22" s="16">
        <f>SUMIFS(Expenses!$G:$G,Expenses!$B:$B,$F$1,Expenses!$D:$D,B22,Expenses!$C:$C,$B$21)</f>
        <v>0</v>
      </c>
      <c r="G22" s="16">
        <f>SUMIFS(Expenses!$G:$G,Expenses!$B:$B,$G$1,Expenses!$D:$D,B22,Expenses!$C:$C,$B$21)</f>
        <v>0</v>
      </c>
      <c r="H22" s="16">
        <f>SUMIFS(Expenses!$G:$G,Expenses!$B:$B,$H$1,Expenses!$D:$D,B22,Expenses!$C:$C,$B$21)</f>
        <v>0</v>
      </c>
      <c r="I22" s="16">
        <f>SUMIFS(Expenses!$G:$G,Expenses!$B:$B,$I$1,Expenses!$D:$D,B22,Expenses!$C:$C,$B$21)</f>
        <v>0</v>
      </c>
      <c r="J22" s="16">
        <f>SUMIFS(Expenses!$G:$G,Expenses!$B:$B,$J$1,Expenses!$D:$D,B22,Expenses!$C:$C,$B$21)</f>
        <v>0</v>
      </c>
      <c r="K22" s="16">
        <f>SUMIFS(Expenses!$G:$G,Expenses!$B:$B,$K$1,Expenses!$D:$D,B22,Expenses!$C:$C,$B$21)</f>
        <v>0</v>
      </c>
      <c r="L22" s="16">
        <f>SUMIFS(Expenses!$G:$G,Expenses!$B:$B,$L$1,Expenses!$D:$D,B22,Expenses!$C:$C,$B$21)</f>
        <v>0</v>
      </c>
      <c r="M22" s="16">
        <f>SUMIFS(Expenses!$G:$G,Expenses!$B:$B,$M$1,Expenses!$D:$D,B22,Expenses!$C:$C,$B$21)</f>
        <v>0</v>
      </c>
      <c r="N22" s="16">
        <f>SUMIFS(Expenses!$G:$G,Expenses!$B:$B,$N$1,Expenses!$D:$D,B22,Expenses!$C:$C,$B$21)</f>
        <v>0</v>
      </c>
      <c r="O22" s="16">
        <f>SUMIFS(Expenses!$G:$G,Expenses!$B:$B,$O$1,Expenses!$D:$D,B22,Expenses!$C:$C,$B$21)</f>
        <v>0</v>
      </c>
      <c r="P22" s="16">
        <f>SUMIFS(Expenses!$G:$G,Expenses!$B:$B,$P$1,Expenses!$D:$D,B22,Expenses!$C:$C,$B$21)</f>
        <v>0</v>
      </c>
      <c r="Q22" s="16">
        <f>SUMIFS(Expenses!$G:$G,Expenses!$B:$B,$Q$1,Expenses!$D:$D,B22,Expenses!$C:$C,$B$21)</f>
        <v>0</v>
      </c>
      <c r="R22" s="16">
        <f>SUMIFS(Expenses!$G:$G,Expenses!$B:$B,$R$1,Expenses!$D:$D,B22,Expenses!$C:$C,$B$21)</f>
        <v>0</v>
      </c>
      <c r="S22" s="16">
        <f>SUMIFS(Expenses!$G:$G,Expenses!$B:$B,$S$1,Expenses!$D:$D,B22,Expenses!$C:$C,$B$21)</f>
        <v>0</v>
      </c>
    </row>
    <row r="23" spans="1:19" x14ac:dyDescent="0.25">
      <c r="A23" s="17">
        <f t="shared" si="5"/>
        <v>0</v>
      </c>
      <c r="B23" s="18" t="s">
        <v>28</v>
      </c>
      <c r="C23" s="11">
        <f>SUMIFS(Expenses!$G:$G,Expenses!$B:$B,$C$1,Expenses!$D:$D,B23,Expenses!$C:$C,$B$21)</f>
        <v>0</v>
      </c>
      <c r="D23" s="11">
        <f>SUMIFS(Expenses!$G:$G,Expenses!$B:$B,$D$1,Expenses!$D:$D,B23,Expenses!$C:$C,$B$21)</f>
        <v>0</v>
      </c>
      <c r="E23" s="11">
        <f>SUMIFS(Expenses!$G:$G,Expenses!$B:$B,$E$1,Expenses!$D:$D,B23,Expenses!$C:$C,$B$21)</f>
        <v>0</v>
      </c>
      <c r="F23" s="11">
        <f>SUMIFS(Expenses!$G:$G,Expenses!$B:$B,$F$1,Expenses!$D:$D,B23,Expenses!$C:$C,$B$21)</f>
        <v>0</v>
      </c>
      <c r="G23" s="11">
        <f>SUMIFS(Expenses!$G:$G,Expenses!$B:$B,$G$1,Expenses!$D:$D,B23,Expenses!$C:$C,$B$21)</f>
        <v>0</v>
      </c>
      <c r="H23" s="11">
        <f>SUMIFS(Expenses!$G:$G,Expenses!$B:$B,$H$1,Expenses!$D:$D,B23,Expenses!$C:$C,$B$21)</f>
        <v>0</v>
      </c>
      <c r="I23" s="16">
        <f>SUMIFS(Expenses!$G:$G,Expenses!$B:$B,$I$1,Expenses!$D:$D,B23,Expenses!$C:$C,$B$21)</f>
        <v>0</v>
      </c>
      <c r="J23" s="16">
        <f>SUMIFS(Expenses!$G:$G,Expenses!$B:$B,$J$1,Expenses!$D:$D,B23,Expenses!$C:$C,$B$21)</f>
        <v>0</v>
      </c>
      <c r="K23" s="16">
        <f>SUMIFS(Expenses!$G:$G,Expenses!$B:$B,$K$1,Expenses!$D:$D,B23,Expenses!$C:$C,$B$21)</f>
        <v>0</v>
      </c>
      <c r="L23" s="16">
        <f>SUMIFS(Expenses!$G:$G,Expenses!$B:$B,$L$1,Expenses!$D:$D,B23,Expenses!$C:$C,$B$21)</f>
        <v>0</v>
      </c>
      <c r="M23" s="16">
        <f>SUMIFS(Expenses!$G:$G,Expenses!$B:$B,$M$1,Expenses!$D:$D,B23,Expenses!$C:$C,$B$21)</f>
        <v>0</v>
      </c>
      <c r="N23" s="16">
        <f>SUMIFS(Expenses!$G:$G,Expenses!$B:$B,$N$1,Expenses!$D:$D,B23,Expenses!$C:$C,$B$21)</f>
        <v>0</v>
      </c>
      <c r="O23" s="16">
        <f>SUMIFS(Expenses!$G:$G,Expenses!$B:$B,$O$1,Expenses!$D:$D,B23,Expenses!$C:$C,$B$21)</f>
        <v>0</v>
      </c>
      <c r="P23" s="16">
        <f>SUMIFS(Expenses!$G:$G,Expenses!$B:$B,$P$1,Expenses!$D:$D,B23,Expenses!$C:$C,$B$21)</f>
        <v>0</v>
      </c>
      <c r="Q23" s="16">
        <f>SUMIFS(Expenses!$G:$G,Expenses!$B:$B,$Q$1,Expenses!$D:$D,B23,Expenses!$C:$C,$B$21)</f>
        <v>0</v>
      </c>
      <c r="R23" s="16">
        <f>SUMIFS(Expenses!$G:$G,Expenses!$B:$B,$R$1,Expenses!$D:$D,B23,Expenses!$C:$C,$B$21)</f>
        <v>0</v>
      </c>
      <c r="S23" s="16">
        <f>SUMIFS(Expenses!$G:$G,Expenses!$B:$B,$S$1,Expenses!$D:$D,B23,Expenses!$C:$C,$B$21)</f>
        <v>0</v>
      </c>
    </row>
    <row r="24" spans="1:19" x14ac:dyDescent="0.25">
      <c r="A24" s="17">
        <f t="shared" si="5"/>
        <v>0</v>
      </c>
      <c r="B24" s="18" t="s">
        <v>26</v>
      </c>
      <c r="C24" s="11">
        <f>SUMIFS(Expenses!$G:$G,Expenses!$B:$B,$C$1,Expenses!$D:$D,B24,Expenses!$C:$C,$B$21)</f>
        <v>0</v>
      </c>
      <c r="D24" s="11">
        <f>SUMIFS(Expenses!$G:$G,Expenses!$B:$B,$D$1,Expenses!$D:$D,B24,Expenses!$C:$C,$B$21)</f>
        <v>0</v>
      </c>
      <c r="E24" s="11">
        <f>SUMIFS(Expenses!$G:$G,Expenses!$B:$B,$E$1,Expenses!$D:$D,B24,Expenses!$C:$C,$B$21)</f>
        <v>0</v>
      </c>
      <c r="F24" s="11">
        <f>SUMIFS(Expenses!$G:$G,Expenses!$B:$B,$F$1,Expenses!$D:$D,B24,Expenses!$C:$C,$B$21)</f>
        <v>0</v>
      </c>
      <c r="G24" s="11">
        <f>SUMIFS(Expenses!$G:$G,Expenses!$B:$B,$G$1,Expenses!$D:$D,B24,Expenses!$C:$C,$B$21)</f>
        <v>0</v>
      </c>
      <c r="H24" s="11">
        <f>SUMIFS(Expenses!$G:$G,Expenses!$B:$B,$H$1,Expenses!$D:$D,B24,Expenses!$C:$C,$B$21)</f>
        <v>0</v>
      </c>
      <c r="I24" s="16">
        <f>SUMIFS(Expenses!$G:$G,Expenses!$B:$B,$I$1,Expenses!$D:$D,B24,Expenses!$C:$C,$B$21)</f>
        <v>0</v>
      </c>
      <c r="J24" s="16">
        <f>SUMIFS(Expenses!$G:$G,Expenses!$B:$B,$J$1,Expenses!$D:$D,B24,Expenses!$C:$C,$B$21)</f>
        <v>0</v>
      </c>
      <c r="K24" s="16">
        <f>SUMIFS(Expenses!$G:$G,Expenses!$B:$B,$K$1,Expenses!$D:$D,B24,Expenses!$C:$C,$B$21)</f>
        <v>0</v>
      </c>
      <c r="L24" s="16">
        <f>SUMIFS(Expenses!$G:$G,Expenses!$B:$B,$L$1,Expenses!$D:$D,B24,Expenses!$C:$C,$B$21)</f>
        <v>0</v>
      </c>
      <c r="M24" s="16">
        <f>SUMIFS(Expenses!$G:$G,Expenses!$B:$B,$M$1,Expenses!$D:$D,B24,Expenses!$C:$C,$B$21)</f>
        <v>0</v>
      </c>
      <c r="N24" s="16">
        <f>SUMIFS(Expenses!$G:$G,Expenses!$B:$B,$N$1,Expenses!$D:$D,B24,Expenses!$C:$C,$B$21)</f>
        <v>0</v>
      </c>
      <c r="O24" s="16">
        <f>SUMIFS(Expenses!$G:$G,Expenses!$B:$B,$O$1,Expenses!$D:$D,B24,Expenses!$C:$C,$B$21)</f>
        <v>0</v>
      </c>
      <c r="P24" s="16">
        <f>SUMIFS(Expenses!$G:$G,Expenses!$B:$B,$P$1,Expenses!$D:$D,B24,Expenses!$C:$C,$B$21)</f>
        <v>0</v>
      </c>
      <c r="Q24" s="16">
        <f>SUMIFS(Expenses!$G:$G,Expenses!$B:$B,$Q$1,Expenses!$D:$D,B24,Expenses!$C:$C,$B$21)</f>
        <v>0</v>
      </c>
      <c r="R24" s="16">
        <f>SUMIFS(Expenses!$G:$G,Expenses!$B:$B,$R$1,Expenses!$D:$D,B24,Expenses!$C:$C,$B$21)</f>
        <v>0</v>
      </c>
      <c r="S24" s="16">
        <f>SUMIFS(Expenses!$G:$G,Expenses!$B:$B,$S$1,Expenses!$D:$D,B24,Expenses!$C:$C,$B$21)</f>
        <v>0</v>
      </c>
    </row>
    <row r="25" spans="1:19" x14ac:dyDescent="0.25">
      <c r="A25" s="17">
        <f t="shared" si="5"/>
        <v>0</v>
      </c>
      <c r="B25" s="18" t="s">
        <v>20</v>
      </c>
      <c r="C25" s="11">
        <f>SUMIFS(Expenses!$G:$G,Expenses!$B:$B,$C$1,Expenses!$D:$D,B25,Expenses!$C:$C,$B$21)</f>
        <v>0</v>
      </c>
      <c r="D25" s="11">
        <f>SUMIFS(Expenses!$G:$G,Expenses!$B:$B,$D$1,Expenses!$D:$D,B25,Expenses!$C:$C,$B$21)</f>
        <v>0</v>
      </c>
      <c r="E25" s="11">
        <f>SUMIFS(Expenses!$G:$G,Expenses!$B:$B,$E$1,Expenses!$D:$D,B25,Expenses!$C:$C,$B$21)</f>
        <v>0</v>
      </c>
      <c r="F25" s="11">
        <f>SUMIFS(Expenses!$G:$G,Expenses!$B:$B,$F$1,Expenses!$D:$D,B25,Expenses!$C:$C,$B$21)</f>
        <v>0</v>
      </c>
      <c r="G25" s="11">
        <f>SUMIFS(Expenses!$G:$G,Expenses!$B:$B,$G$1,Expenses!$D:$D,B25,Expenses!$C:$C,$B$21)</f>
        <v>0</v>
      </c>
      <c r="H25" s="11">
        <f>SUMIFS(Expenses!$G:$G,Expenses!$B:$B,$H$1,Expenses!$D:$D,B25,Expenses!$C:$C,$B$21)</f>
        <v>0</v>
      </c>
      <c r="I25" s="16">
        <f>SUMIFS(Expenses!$G:$G,Expenses!$B:$B,$I$1,Expenses!$D:$D,B25,Expenses!$C:$C,$B$21)</f>
        <v>0</v>
      </c>
      <c r="J25" s="16">
        <f>SUMIFS(Expenses!$G:$G,Expenses!$B:$B,$J$1,Expenses!$D:$D,B25,Expenses!$C:$C,$B$21)</f>
        <v>0</v>
      </c>
      <c r="K25" s="16">
        <f>SUMIFS(Expenses!$G:$G,Expenses!$B:$B,$K$1,Expenses!$D:$D,B25,Expenses!$C:$C,$B$21)</f>
        <v>0</v>
      </c>
      <c r="L25" s="16">
        <f>SUMIFS(Expenses!$G:$G,Expenses!$B:$B,$L$1,Expenses!$D:$D,B25,Expenses!$C:$C,$B$21)</f>
        <v>0</v>
      </c>
      <c r="M25" s="16">
        <f>SUMIFS(Expenses!$G:$G,Expenses!$B:$B,$M$1,Expenses!$D:$D,B25,Expenses!$C:$C,$B$21)</f>
        <v>0</v>
      </c>
      <c r="N25" s="16">
        <f>SUMIFS(Expenses!$G:$G,Expenses!$B:$B,$N$1,Expenses!$D:$D,B25,Expenses!$C:$C,$B$21)</f>
        <v>0</v>
      </c>
      <c r="O25" s="16">
        <f>SUMIFS(Expenses!$G:$G,Expenses!$B:$B,$O$1,Expenses!$D:$D,B25,Expenses!$C:$C,$B$21)</f>
        <v>0</v>
      </c>
      <c r="P25" s="16">
        <f>SUMIFS(Expenses!$G:$G,Expenses!$B:$B,$P$1,Expenses!$D:$D,B25,Expenses!$C:$C,$B$21)</f>
        <v>0</v>
      </c>
      <c r="Q25" s="16">
        <f>SUMIFS(Expenses!$G:$G,Expenses!$B:$B,$Q$1,Expenses!$D:$D,B25,Expenses!$C:$C,$B$21)</f>
        <v>0</v>
      </c>
      <c r="R25" s="16">
        <f>SUMIFS(Expenses!$G:$G,Expenses!$B:$B,$R$1,Expenses!$D:$D,B25,Expenses!$C:$C,$B$21)</f>
        <v>0</v>
      </c>
      <c r="S25" s="16">
        <f>SUMIFS(Expenses!$G:$G,Expenses!$B:$B,$S$1,Expenses!$D:$D,B25,Expenses!$C:$C,$B$21)</f>
        <v>0</v>
      </c>
    </row>
    <row r="26" spans="1:19" x14ac:dyDescent="0.25">
      <c r="A26" s="17">
        <f t="shared" si="5"/>
        <v>0</v>
      </c>
      <c r="B26" s="18" t="s">
        <v>17</v>
      </c>
      <c r="C26" s="11">
        <f>SUMIFS(Expenses!$G:$G,Expenses!$B:$B,$C$1,Expenses!$D:$D,B26,Expenses!$C:$C,$B$21)</f>
        <v>0</v>
      </c>
      <c r="D26" s="11">
        <f>SUMIFS(Expenses!$G:$G,Expenses!$B:$B,$D$1,Expenses!$D:$D,B26,Expenses!$C:$C,$B$21)</f>
        <v>0</v>
      </c>
      <c r="E26" s="11">
        <f>SUMIFS(Expenses!$G:$G,Expenses!$B:$B,$E$1,Expenses!$D:$D,B26,Expenses!$C:$C,$B$21)</f>
        <v>0</v>
      </c>
      <c r="F26" s="11">
        <f>SUMIFS(Expenses!$G:$G,Expenses!$B:$B,$F$1,Expenses!$D:$D,B26,Expenses!$C:$C,$B$21)</f>
        <v>0</v>
      </c>
      <c r="G26" s="11">
        <f>SUMIFS(Expenses!$G:$G,Expenses!$B:$B,$G$1,Expenses!$D:$D,B26,Expenses!$C:$C,$B$21)</f>
        <v>0</v>
      </c>
      <c r="H26" s="11">
        <f>SUMIFS(Expenses!$G:$G,Expenses!$B:$B,$H$1,Expenses!$D:$D,B26,Expenses!$C:$C,$B$21)</f>
        <v>0</v>
      </c>
      <c r="I26" s="16">
        <f>SUMIFS(Expenses!$G:$G,Expenses!$B:$B,$I$1,Expenses!$D:$D,B26,Expenses!$C:$C,$B$21)</f>
        <v>0</v>
      </c>
      <c r="J26" s="16">
        <f>SUMIFS(Expenses!$G:$G,Expenses!$B:$B,$J$1,Expenses!$D:$D,B26,Expenses!$C:$C,$B$21)</f>
        <v>0</v>
      </c>
      <c r="K26" s="16">
        <f>SUMIFS(Expenses!$G:$G,Expenses!$B:$B,$K$1,Expenses!$D:$D,B26,Expenses!$C:$C,$B$21)</f>
        <v>0</v>
      </c>
      <c r="L26" s="16">
        <f>SUMIFS(Expenses!$G:$G,Expenses!$B:$B,$L$1,Expenses!$D:$D,B26,Expenses!$C:$C,$B$21)</f>
        <v>0</v>
      </c>
      <c r="M26" s="16">
        <f>SUMIFS(Expenses!$G:$G,Expenses!$B:$B,$M$1,Expenses!$D:$D,B26,Expenses!$C:$C,$B$21)</f>
        <v>0</v>
      </c>
      <c r="N26" s="16">
        <f>SUMIFS(Expenses!$G:$G,Expenses!$B:$B,$N$1,Expenses!$D:$D,B26,Expenses!$C:$C,$B$21)</f>
        <v>0</v>
      </c>
      <c r="O26" s="16">
        <f>SUMIFS(Expenses!$G:$G,Expenses!$B:$B,$O$1,Expenses!$D:$D,B26,Expenses!$C:$C,$B$21)</f>
        <v>0</v>
      </c>
      <c r="P26" s="16">
        <f>SUMIFS(Expenses!$G:$G,Expenses!$B:$B,$P$1,Expenses!$D:$D,B26,Expenses!$C:$C,$B$21)</f>
        <v>0</v>
      </c>
      <c r="Q26" s="16">
        <f>SUMIFS(Expenses!$G:$G,Expenses!$B:$B,$Q$1,Expenses!$D:$D,B26,Expenses!$C:$C,$B$21)</f>
        <v>0</v>
      </c>
      <c r="R26" s="16">
        <f>SUMIFS(Expenses!$G:$G,Expenses!$B:$B,$R$1,Expenses!$D:$D,B26,Expenses!$C:$C,$B$21)</f>
        <v>0</v>
      </c>
      <c r="S26" s="16">
        <f>SUMIFS(Expenses!$G:$G,Expenses!$B:$B,$S$1,Expenses!$D:$D,B26,Expenses!$C:$C,$B$21)</f>
        <v>0</v>
      </c>
    </row>
    <row r="27" spans="1:19" x14ac:dyDescent="0.25">
      <c r="A27" s="17">
        <f t="shared" si="5"/>
        <v>0</v>
      </c>
      <c r="B27" s="18" t="s">
        <v>18</v>
      </c>
      <c r="C27" s="11">
        <f>SUMIFS(Expenses!$G:$G,Expenses!$B:$B,$C$1,Expenses!$D:$D,B27,Expenses!$C:$C,$B$21)</f>
        <v>0</v>
      </c>
      <c r="D27" s="11">
        <f>SUMIFS(Expenses!$G:$G,Expenses!$B:$B,$D$1,Expenses!$D:$D,B27,Expenses!$C:$C,$B$21)</f>
        <v>0</v>
      </c>
      <c r="E27" s="11">
        <f>SUMIFS(Expenses!$G:$G,Expenses!$B:$B,$E$1,Expenses!$D:$D,B27,Expenses!$C:$C,$B$21)</f>
        <v>0</v>
      </c>
      <c r="F27" s="11">
        <f>SUMIFS(Expenses!$G:$G,Expenses!$B:$B,$F$1,Expenses!$D:$D,B27,Expenses!$C:$C,$B$21)</f>
        <v>0</v>
      </c>
      <c r="G27" s="11">
        <f>SUMIFS(Expenses!$G:$G,Expenses!$B:$B,$G$1,Expenses!$D:$D,B27,Expenses!$C:$C,$B$21)</f>
        <v>0</v>
      </c>
      <c r="H27" s="11">
        <f>SUMIFS(Expenses!$G:$G,Expenses!$B:$B,$H$1,Expenses!$D:$D,B27,Expenses!$C:$C,$B$21)</f>
        <v>0</v>
      </c>
      <c r="I27" s="16">
        <f>SUMIFS(Expenses!$G:$G,Expenses!$B:$B,$I$1,Expenses!$D:$D,B27,Expenses!$C:$C,$B$21)</f>
        <v>0</v>
      </c>
      <c r="J27" s="16">
        <f>SUMIFS(Expenses!$G:$G,Expenses!$B:$B,$J$1,Expenses!$D:$D,B27,Expenses!$C:$C,$B$21)</f>
        <v>0</v>
      </c>
      <c r="K27" s="16">
        <f>SUMIFS(Expenses!$G:$G,Expenses!$B:$B,$K$1,Expenses!$D:$D,B27,Expenses!$C:$C,$B$21)</f>
        <v>0</v>
      </c>
      <c r="L27" s="16">
        <f>SUMIFS(Expenses!$G:$G,Expenses!$B:$B,$L$1,Expenses!$D:$D,B27,Expenses!$C:$C,$B$21)</f>
        <v>0</v>
      </c>
      <c r="M27" s="16">
        <f>SUMIFS(Expenses!$G:$G,Expenses!$B:$B,$M$1,Expenses!$D:$D,B27,Expenses!$C:$C,$B$21)</f>
        <v>0</v>
      </c>
      <c r="N27" s="16">
        <f>SUMIFS(Expenses!$G:$G,Expenses!$B:$B,$N$1,Expenses!$D:$D,B27,Expenses!$C:$C,$B$21)</f>
        <v>0</v>
      </c>
      <c r="O27" s="16">
        <f>SUMIFS(Expenses!$G:$G,Expenses!$B:$B,$O$1,Expenses!$D:$D,B27,Expenses!$C:$C,$B$21)</f>
        <v>0</v>
      </c>
      <c r="P27" s="16">
        <f>SUMIFS(Expenses!$G:$G,Expenses!$B:$B,$P$1,Expenses!$D:$D,B27,Expenses!$C:$C,$B$21)</f>
        <v>0</v>
      </c>
      <c r="Q27" s="16">
        <f>SUMIFS(Expenses!$G:$G,Expenses!$B:$B,$Q$1,Expenses!$D:$D,B27,Expenses!$C:$C,$B$21)</f>
        <v>0</v>
      </c>
      <c r="R27" s="16">
        <f>SUMIFS(Expenses!$G:$G,Expenses!$B:$B,$R$1,Expenses!$D:$D,B27,Expenses!$C:$C,$B$21)</f>
        <v>0</v>
      </c>
      <c r="S27" s="16">
        <f>SUMIFS(Expenses!$G:$G,Expenses!$B:$B,$S$1,Expenses!$D:$D,B27,Expenses!$C:$C,$B$21)</f>
        <v>0</v>
      </c>
    </row>
    <row r="28" spans="1:19" x14ac:dyDescent="0.25">
      <c r="A28" s="17">
        <f t="shared" si="5"/>
        <v>0</v>
      </c>
      <c r="B28" s="19" t="s">
        <v>25</v>
      </c>
      <c r="C28" s="11">
        <f>SUMIFS(Expenses!$G:$G,Expenses!$B:$B,$C$1,Expenses!$D:$D,B28,Expenses!$C:$C,$B$21)</f>
        <v>0</v>
      </c>
      <c r="D28" s="11">
        <f>SUMIFS(Expenses!$G:$G,Expenses!$B:$B,$D$1,Expenses!$D:$D,B28,Expenses!$C:$C,$B$21)</f>
        <v>0</v>
      </c>
      <c r="E28" s="11">
        <f>SUMIFS(Expenses!$G:$G,Expenses!$B:$B,$E$1,Expenses!$D:$D,B28,Expenses!$C:$C,$B$21)</f>
        <v>0</v>
      </c>
      <c r="F28" s="11">
        <f>SUMIFS(Expenses!$G:$G,Expenses!$B:$B,$F$1,Expenses!$D:$D,B28,Expenses!$C:$C,$B$21)</f>
        <v>0</v>
      </c>
      <c r="G28" s="11">
        <f>SUMIFS(Expenses!$G:$G,Expenses!$B:$B,$G$1,Expenses!$D:$D,B28,Expenses!$C:$C,$B$21)</f>
        <v>0</v>
      </c>
      <c r="H28" s="11">
        <f>SUMIFS(Expenses!$G:$G,Expenses!$B:$B,$H$1,Expenses!$D:$D,B28,Expenses!$C:$C,$B$21)</f>
        <v>0</v>
      </c>
      <c r="I28" s="16">
        <f>SUMIFS(Expenses!$G:$G,Expenses!$B:$B,$I$1,Expenses!$D:$D,B28,Expenses!$C:$C,$B$21)</f>
        <v>0</v>
      </c>
      <c r="J28" s="16">
        <f>SUMIFS(Expenses!$G:$G,Expenses!$B:$B,$J$1,Expenses!$D:$D,B28,Expenses!$C:$C,$B$21)</f>
        <v>0</v>
      </c>
      <c r="K28" s="16">
        <f>SUMIFS(Expenses!$G:$G,Expenses!$B:$B,$K$1,Expenses!$D:$D,B28,Expenses!$C:$C,$B$21)</f>
        <v>0</v>
      </c>
      <c r="L28" s="16">
        <f>SUMIFS(Expenses!$G:$G,Expenses!$B:$B,$L$1,Expenses!$D:$D,B28,Expenses!$C:$C,$B$21)</f>
        <v>0</v>
      </c>
      <c r="M28" s="16">
        <f>SUMIFS(Expenses!$G:$G,Expenses!$B:$B,$M$1,Expenses!$D:$D,B28,Expenses!$C:$C,$B$21)</f>
        <v>0</v>
      </c>
      <c r="N28" s="16">
        <f>SUMIFS(Expenses!$G:$G,Expenses!$B:$B,$N$1,Expenses!$D:$D,B28,Expenses!$C:$C,$B$21)</f>
        <v>0</v>
      </c>
      <c r="O28" s="16">
        <f>SUMIFS(Expenses!$G:$G,Expenses!$B:$B,$O$1,Expenses!$D:$D,B28,Expenses!$C:$C,$B$21)</f>
        <v>0</v>
      </c>
      <c r="P28" s="16">
        <f>SUMIFS(Expenses!$G:$G,Expenses!$B:$B,$P$1,Expenses!$D:$D,B28,Expenses!$C:$C,$B$21)</f>
        <v>0</v>
      </c>
      <c r="Q28" s="16">
        <f>SUMIFS(Expenses!$G:$G,Expenses!$B:$B,$Q$1,Expenses!$D:$D,B28,Expenses!$C:$C,$B$21)</f>
        <v>0</v>
      </c>
      <c r="R28" s="16">
        <f>SUMIFS(Expenses!$G:$G,Expenses!$B:$B,$R$1,Expenses!$D:$D,B28,Expenses!$C:$C,$B$21)</f>
        <v>0</v>
      </c>
      <c r="S28" s="16">
        <f>SUMIFS(Expenses!$G:$G,Expenses!$B:$B,$S$1,Expenses!$D:$D,B28,Expenses!$C:$C,$B$21)</f>
        <v>0</v>
      </c>
    </row>
    <row r="29" spans="1:19" x14ac:dyDescent="0.25">
      <c r="A29" s="17">
        <f t="shared" si="5"/>
        <v>0</v>
      </c>
      <c r="B29" s="19" t="s">
        <v>23</v>
      </c>
      <c r="C29" s="11">
        <f>SUMIFS(Expenses!$G:$G,Expenses!$B:$B,$C$1,Expenses!$D:$D,B29,Expenses!$C:$C,$B$21)</f>
        <v>0</v>
      </c>
      <c r="D29" s="11">
        <f>SUMIFS(Expenses!$G:$G,Expenses!$B:$B,$D$1,Expenses!$D:$D,B29,Expenses!$C:$C,$B$21)</f>
        <v>0</v>
      </c>
      <c r="E29" s="11">
        <f>SUMIFS(Expenses!$G:$G,Expenses!$B:$B,$E$1,Expenses!$D:$D,B29,Expenses!$C:$C,$B$21)</f>
        <v>0</v>
      </c>
      <c r="F29" s="11">
        <f>SUMIFS(Expenses!$G:$G,Expenses!$B:$B,$F$1,Expenses!$D:$D,B29,Expenses!$C:$C,$B$21)</f>
        <v>0</v>
      </c>
      <c r="G29" s="11">
        <f>SUMIFS(Expenses!$G:$G,Expenses!$B:$B,$G$1,Expenses!$D:$D,B29,Expenses!$C:$C,$B$21)</f>
        <v>0</v>
      </c>
      <c r="H29" s="11">
        <f>SUMIFS(Expenses!$G:$G,Expenses!$B:$B,$H$1,Expenses!$D:$D,B29,Expenses!$C:$C,$B$21)</f>
        <v>0</v>
      </c>
      <c r="I29" s="16">
        <f>SUMIFS(Expenses!$G:$G,Expenses!$B:$B,$I$1,Expenses!$D:$D,B29,Expenses!$C:$C,$B$21)</f>
        <v>0</v>
      </c>
      <c r="J29" s="16">
        <f>SUMIFS(Expenses!$G:$G,Expenses!$B:$B,$J$1,Expenses!$D:$D,B29,Expenses!$C:$C,$B$21)</f>
        <v>0</v>
      </c>
      <c r="K29" s="16">
        <f>SUMIFS(Expenses!$G:$G,Expenses!$B:$B,$K$1,Expenses!$D:$D,B29,Expenses!$C:$C,$B$21)</f>
        <v>0</v>
      </c>
      <c r="L29" s="16">
        <f>SUMIFS(Expenses!$G:$G,Expenses!$B:$B,$L$1,Expenses!$D:$D,B29,Expenses!$C:$C,$B$21)</f>
        <v>0</v>
      </c>
      <c r="M29" s="16">
        <f>SUMIFS(Expenses!$G:$G,Expenses!$B:$B,$M$1,Expenses!$D:$D,B29,Expenses!$C:$C,$B$21)</f>
        <v>0</v>
      </c>
      <c r="N29" s="16">
        <f>SUMIFS(Expenses!$G:$G,Expenses!$B:$B,$N$1,Expenses!$D:$D,B29,Expenses!$C:$C,$B$21)</f>
        <v>0</v>
      </c>
      <c r="O29" s="16">
        <f>SUMIFS(Expenses!$G:$G,Expenses!$B:$B,$O$1,Expenses!$D:$D,B29,Expenses!$C:$C,$B$21)</f>
        <v>0</v>
      </c>
      <c r="P29" s="16">
        <f>SUMIFS(Expenses!$G:$G,Expenses!$B:$B,$P$1,Expenses!$D:$D,B29,Expenses!$C:$C,$B$21)</f>
        <v>0</v>
      </c>
      <c r="Q29" s="16">
        <f>SUMIFS(Expenses!$G:$G,Expenses!$B:$B,$Q$1,Expenses!$D:$D,B29,Expenses!$C:$C,$B$21)</f>
        <v>0</v>
      </c>
      <c r="R29" s="16">
        <f>SUMIFS(Expenses!$G:$G,Expenses!$B:$B,$R$1,Expenses!$D:$D,B29,Expenses!$C:$C,$B$21)</f>
        <v>0</v>
      </c>
      <c r="S29" s="16">
        <f>SUMIFS(Expenses!$G:$G,Expenses!$B:$B,$S$1,Expenses!$D:$D,B29,Expenses!$C:$C,$B$21)</f>
        <v>0</v>
      </c>
    </row>
    <row r="30" spans="1:19" x14ac:dyDescent="0.25">
      <c r="A30" s="17">
        <f t="shared" si="5"/>
        <v>0</v>
      </c>
      <c r="B30" s="19" t="s">
        <v>15</v>
      </c>
      <c r="C30" s="11">
        <f>SUMIFS(Expenses!$G:$G,Expenses!$B:$B,$C$1,Expenses!$D:$D,B30,Expenses!$C:$C,$B$21)</f>
        <v>0</v>
      </c>
      <c r="D30" s="11">
        <f>SUMIFS(Expenses!$G:$G,Expenses!$B:$B,$D$1,Expenses!$D:$D,B30,Expenses!$C:$C,$B$21)</f>
        <v>0</v>
      </c>
      <c r="E30" s="11">
        <f>SUMIFS(Expenses!$G:$G,Expenses!$B:$B,$E$1,Expenses!$D:$D,B30,Expenses!$C:$C,$B$21)</f>
        <v>0</v>
      </c>
      <c r="F30" s="11">
        <f>SUMIFS(Expenses!$G:$G,Expenses!$B:$B,$F$1,Expenses!$D:$D,B30,Expenses!$C:$C,$B$21)</f>
        <v>0</v>
      </c>
      <c r="G30" s="11">
        <f>SUMIFS(Expenses!$G:$G,Expenses!$B:$B,$G$1,Expenses!$D:$D,B30,Expenses!$C:$C,$B$21)</f>
        <v>0</v>
      </c>
      <c r="H30" s="11">
        <f>SUMIFS(Expenses!$G:$G,Expenses!$B:$B,$H$1,Expenses!$D:$D,B30,Expenses!$C:$C,$B$21)</f>
        <v>0</v>
      </c>
      <c r="I30" s="16">
        <f>SUMIFS(Expenses!$G:$G,Expenses!$B:$B,$I$1,Expenses!$D:$D,B30,Expenses!$C:$C,$B$21)</f>
        <v>0</v>
      </c>
      <c r="J30" s="16">
        <f>SUMIFS(Expenses!$G:$G,Expenses!$B:$B,$J$1,Expenses!$D:$D,B30,Expenses!$C:$C,$B$21)</f>
        <v>0</v>
      </c>
      <c r="K30" s="16">
        <f>SUMIFS(Expenses!$G:$G,Expenses!$B:$B,$K$1,Expenses!$D:$D,B30,Expenses!$C:$C,$B$21)</f>
        <v>0</v>
      </c>
      <c r="L30" s="16">
        <f>SUMIFS(Expenses!$G:$G,Expenses!$B:$B,$L$1,Expenses!$D:$D,B30,Expenses!$C:$C,$B$21)</f>
        <v>0</v>
      </c>
      <c r="M30" s="16">
        <f>SUMIFS(Expenses!$G:$G,Expenses!$B:$B,$M$1,Expenses!$D:$D,B30,Expenses!$C:$C,$B$21)</f>
        <v>0</v>
      </c>
      <c r="N30" s="16">
        <f>SUMIFS(Expenses!$G:$G,Expenses!$B:$B,$N$1,Expenses!$D:$D,B30,Expenses!$C:$C,$B$21)</f>
        <v>0</v>
      </c>
      <c r="O30" s="16">
        <f>SUMIFS(Expenses!$G:$G,Expenses!$B:$B,$O$1,Expenses!$D:$D,B30,Expenses!$C:$C,$B$21)</f>
        <v>0</v>
      </c>
      <c r="P30" s="16">
        <f>SUMIFS(Expenses!$G:$G,Expenses!$B:$B,$P$1,Expenses!$D:$D,B30,Expenses!$C:$C,$B$21)</f>
        <v>0</v>
      </c>
      <c r="Q30" s="16">
        <f>SUMIFS(Expenses!$G:$G,Expenses!$B:$B,$Q$1,Expenses!$D:$D,B30,Expenses!$C:$C,$B$21)</f>
        <v>0</v>
      </c>
      <c r="R30" s="16">
        <f>SUMIFS(Expenses!$G:$G,Expenses!$B:$B,$R$1,Expenses!$D:$D,B30,Expenses!$C:$C,$B$21)</f>
        <v>0</v>
      </c>
      <c r="S30" s="16">
        <f>SUMIFS(Expenses!$G:$G,Expenses!$B:$B,$S$1,Expenses!$D:$D,B30,Expenses!$C:$C,$B$21)</f>
        <v>0</v>
      </c>
    </row>
    <row r="31" spans="1:19" x14ac:dyDescent="0.25">
      <c r="A31" s="17">
        <f t="shared" si="5"/>
        <v>0</v>
      </c>
      <c r="B31" s="19" t="s">
        <v>24</v>
      </c>
      <c r="C31" s="11">
        <f>SUMIFS(Expenses!$G:$G,Expenses!$B:$B,$C$1,Expenses!$D:$D,B31,Expenses!$C:$C,$B$21)</f>
        <v>0</v>
      </c>
      <c r="D31" s="11">
        <f>SUMIFS(Expenses!$G:$G,Expenses!$B:$B,$D$1,Expenses!$D:$D,B31,Expenses!$C:$C,$B$21)</f>
        <v>0</v>
      </c>
      <c r="E31" s="11">
        <f>SUMIFS(Expenses!$G:$G,Expenses!$B:$B,$E$1,Expenses!$D:$D,B31,Expenses!$C:$C,$B$21)</f>
        <v>0</v>
      </c>
      <c r="F31" s="11">
        <f>SUMIFS(Expenses!$G:$G,Expenses!$B:$B,$F$1,Expenses!$D:$D,B31,Expenses!$C:$C,$B$21)</f>
        <v>0</v>
      </c>
      <c r="G31" s="11">
        <f>SUMIFS(Expenses!$G:$G,Expenses!$B:$B,$G$1,Expenses!$D:$D,B31,Expenses!$C:$C,$B$21)</f>
        <v>0</v>
      </c>
      <c r="H31" s="11">
        <f>SUMIFS(Expenses!$G:$G,Expenses!$B:$B,$H$1,Expenses!$D:$D,B31,Expenses!$C:$C,$B$21)</f>
        <v>0</v>
      </c>
      <c r="I31" s="16">
        <f>SUMIFS(Expenses!$G:$G,Expenses!$B:$B,$I$1,Expenses!$D:$D,B31,Expenses!$C:$C,$B$21)</f>
        <v>0</v>
      </c>
      <c r="J31" s="16">
        <f>SUMIFS(Expenses!$G:$G,Expenses!$B:$B,$J$1,Expenses!$D:$D,B31,Expenses!$C:$C,$B$21)</f>
        <v>0</v>
      </c>
      <c r="K31" s="16">
        <f>SUMIFS(Expenses!$G:$G,Expenses!$B:$B,$K$1,Expenses!$D:$D,B31,Expenses!$C:$C,$B$21)</f>
        <v>0</v>
      </c>
      <c r="L31" s="16">
        <f>SUMIFS(Expenses!$G:$G,Expenses!$B:$B,$L$1,Expenses!$D:$D,B31,Expenses!$C:$C,$B$21)</f>
        <v>0</v>
      </c>
      <c r="M31" s="16">
        <f>SUMIFS(Expenses!$G:$G,Expenses!$B:$B,$M$1,Expenses!$D:$D,B31,Expenses!$C:$C,$B$21)</f>
        <v>0</v>
      </c>
      <c r="N31" s="16">
        <f>SUMIFS(Expenses!$G:$G,Expenses!$B:$B,$N$1,Expenses!$D:$D,B31,Expenses!$C:$C,$B$21)</f>
        <v>0</v>
      </c>
      <c r="O31" s="16">
        <f>SUMIFS(Expenses!$G:$G,Expenses!$B:$B,$O$1,Expenses!$D:$D,B31,Expenses!$C:$C,$B$21)</f>
        <v>0</v>
      </c>
      <c r="P31" s="16">
        <f>SUMIFS(Expenses!$G:$G,Expenses!$B:$B,$P$1,Expenses!$D:$D,B31,Expenses!$C:$C,$B$21)</f>
        <v>0</v>
      </c>
      <c r="Q31" s="16">
        <f>SUMIFS(Expenses!$G:$G,Expenses!$B:$B,$Q$1,Expenses!$D:$D,B31,Expenses!$C:$C,$B$21)</f>
        <v>0</v>
      </c>
      <c r="R31" s="16">
        <f>SUMIFS(Expenses!$G:$G,Expenses!$B:$B,$R$1,Expenses!$D:$D,B31,Expenses!$C:$C,$B$21)</f>
        <v>0</v>
      </c>
      <c r="S31" s="16">
        <f>SUMIFS(Expenses!$G:$G,Expenses!$B:$B,$S$1,Expenses!$D:$D,B31,Expenses!$C:$C,$B$21)</f>
        <v>0</v>
      </c>
    </row>
    <row r="32" spans="1:19" x14ac:dyDescent="0.25">
      <c r="A32" s="17">
        <f t="shared" si="5"/>
        <v>0</v>
      </c>
      <c r="B32" s="19" t="s">
        <v>22</v>
      </c>
      <c r="C32" s="11">
        <f>SUMIFS(Expenses!$G:$G,Expenses!$B:$B,$C$1,Expenses!$D:$D,B32,Expenses!$C:$C,$B$21)</f>
        <v>0</v>
      </c>
      <c r="D32" s="11">
        <f>SUMIFS(Expenses!$G:$G,Expenses!$B:$B,$D$1,Expenses!$D:$D,B32,Expenses!$C:$C,$B$21)</f>
        <v>0</v>
      </c>
      <c r="E32" s="11">
        <f>SUMIFS(Expenses!$G:$G,Expenses!$B:$B,$E$1,Expenses!$D:$D,B32,Expenses!$C:$C,$B$21)</f>
        <v>0</v>
      </c>
      <c r="F32" s="11">
        <f>SUMIFS(Expenses!$G:$G,Expenses!$B:$B,$F$1,Expenses!$D:$D,B32,Expenses!$C:$C,$B$21)</f>
        <v>0</v>
      </c>
      <c r="G32" s="11">
        <f>SUMIFS(Expenses!$G:$G,Expenses!$B:$B,$G$1,Expenses!$D:$D,B32,Expenses!$C:$C,$B$21)</f>
        <v>0</v>
      </c>
      <c r="H32" s="11">
        <f>SUMIFS(Expenses!$G:$G,Expenses!$B:$B,$H$1,Expenses!$D:$D,B32,Expenses!$C:$C,$B$21)</f>
        <v>0</v>
      </c>
      <c r="I32" s="16">
        <f>SUMIFS(Expenses!$G:$G,Expenses!$B:$B,$I$1,Expenses!$D:$D,B32,Expenses!$C:$C,$B$21)</f>
        <v>0</v>
      </c>
      <c r="J32" s="16">
        <f>SUMIFS(Expenses!$G:$G,Expenses!$B:$B,$J$1,Expenses!$D:$D,B32,Expenses!$C:$C,$B$21)</f>
        <v>0</v>
      </c>
      <c r="K32" s="16">
        <f>SUMIFS(Expenses!$G:$G,Expenses!$B:$B,$K$1,Expenses!$D:$D,B32,Expenses!$C:$C,$B$21)</f>
        <v>0</v>
      </c>
      <c r="L32" s="16">
        <f>SUMIFS(Expenses!$G:$G,Expenses!$B:$B,$L$1,Expenses!$D:$D,B32,Expenses!$C:$C,$B$21)</f>
        <v>0</v>
      </c>
      <c r="M32" s="16">
        <f>SUMIFS(Expenses!$G:$G,Expenses!$B:$B,$M$1,Expenses!$D:$D,B32,Expenses!$C:$C,$B$21)</f>
        <v>0</v>
      </c>
      <c r="N32" s="16">
        <f>SUMIFS(Expenses!$G:$G,Expenses!$B:$B,$N$1,Expenses!$D:$D,B32,Expenses!$C:$C,$B$21)</f>
        <v>0</v>
      </c>
      <c r="O32" s="16">
        <f>SUMIFS(Expenses!$G:$G,Expenses!$B:$B,$O$1,Expenses!$D:$D,B32,Expenses!$C:$C,$B$21)</f>
        <v>0</v>
      </c>
      <c r="P32" s="16">
        <f>SUMIFS(Expenses!$G:$G,Expenses!$B:$B,$P$1,Expenses!$D:$D,B32,Expenses!$C:$C,$B$21)</f>
        <v>0</v>
      </c>
      <c r="Q32" s="16">
        <f>SUMIFS(Expenses!$G:$G,Expenses!$B:$B,$Q$1,Expenses!$D:$D,B32,Expenses!$C:$C,$B$21)</f>
        <v>0</v>
      </c>
      <c r="R32" s="16">
        <f>SUMIFS(Expenses!$G:$G,Expenses!$B:$B,$R$1,Expenses!$D:$D,B32,Expenses!$C:$C,$B$21)</f>
        <v>0</v>
      </c>
      <c r="S32" s="16">
        <f>SUMIFS(Expenses!$G:$G,Expenses!$B:$B,$S$1,Expenses!$D:$D,B32,Expenses!$C:$C,$B$21)</f>
        <v>0</v>
      </c>
    </row>
    <row r="33" spans="1:24" x14ac:dyDescent="0.25">
      <c r="A33" s="17">
        <f t="shared" si="5"/>
        <v>0</v>
      </c>
      <c r="B33" s="18" t="s">
        <v>29</v>
      </c>
      <c r="C33" s="11">
        <f>SUMIFS(Expenses!$G:$G,Expenses!$B:$B,$C$1,Expenses!$D:$D,B33,Expenses!$C:$C,$B$21)</f>
        <v>0</v>
      </c>
      <c r="D33" s="11">
        <f>SUMIFS(Expenses!$G:$G,Expenses!$B:$B,$D$1,Expenses!$D:$D,B33,Expenses!$C:$C,$B$21)</f>
        <v>0</v>
      </c>
      <c r="E33" s="11">
        <f>SUMIFS(Expenses!$G:$G,Expenses!$B:$B,$E$1,Expenses!$D:$D,B33,Expenses!$C:$C,$B$21)</f>
        <v>0</v>
      </c>
      <c r="F33" s="11">
        <f>SUMIFS(Expenses!$G:$G,Expenses!$B:$B,$F$1,Expenses!$D:$D,B33,Expenses!$C:$C,$B$21)</f>
        <v>0</v>
      </c>
      <c r="G33" s="11">
        <f>SUMIFS(Expenses!$G:$G,Expenses!$B:$B,$G$1,Expenses!$D:$D,B33,Expenses!$C:$C,$B$21)</f>
        <v>0</v>
      </c>
      <c r="H33" s="11">
        <f>SUMIFS(Expenses!$G:$G,Expenses!$B:$B,$H$1,Expenses!$D:$D,B33,Expenses!$C:$C,$B$21)</f>
        <v>0</v>
      </c>
      <c r="I33" s="16">
        <f>SUMIFS(Expenses!$G:$G,Expenses!$B:$B,$I$1,Expenses!$D:$D,B33,Expenses!$C:$C,$B$21)</f>
        <v>0</v>
      </c>
      <c r="J33" s="16">
        <f>SUMIFS(Expenses!$G:$G,Expenses!$B:$B,$J$1,Expenses!$D:$D,B33,Expenses!$C:$C,$B$21)</f>
        <v>0</v>
      </c>
      <c r="K33" s="16">
        <f>SUMIFS(Expenses!$G:$G,Expenses!$B:$B,$K$1,Expenses!$D:$D,B33,Expenses!$C:$C,$B$21)</f>
        <v>0</v>
      </c>
      <c r="L33" s="16">
        <f>SUMIFS(Expenses!$G:$G,Expenses!$B:$B,$L$1,Expenses!$D:$D,B33,Expenses!$C:$C,$B$21)</f>
        <v>0</v>
      </c>
      <c r="M33" s="16">
        <f>SUMIFS(Expenses!$G:$G,Expenses!$B:$B,$M$1,Expenses!$D:$D,B33,Expenses!$C:$C,$B$21)</f>
        <v>0</v>
      </c>
      <c r="N33" s="16">
        <f>SUMIFS(Expenses!$G:$G,Expenses!$B:$B,$N$1,Expenses!$D:$D,B33,Expenses!$C:$C,$B$21)</f>
        <v>0</v>
      </c>
      <c r="O33" s="16">
        <f>SUMIFS(Expenses!$G:$G,Expenses!$B:$B,$O$1,Expenses!$D:$D,B33,Expenses!$C:$C,$B$21)</f>
        <v>0</v>
      </c>
      <c r="P33" s="16">
        <f>SUMIFS(Expenses!$G:$G,Expenses!$B:$B,$P$1,Expenses!$D:$D,B33,Expenses!$C:$C,$B$21)</f>
        <v>0</v>
      </c>
      <c r="Q33" s="16">
        <f>SUMIFS(Expenses!$G:$G,Expenses!$B:$B,$Q$1,Expenses!$D:$D,B33,Expenses!$C:$C,$B$21)</f>
        <v>0</v>
      </c>
      <c r="R33" s="16">
        <f>SUMIFS(Expenses!$G:$G,Expenses!$B:$B,$R$1,Expenses!$D:$D,B33,Expenses!$C:$C,$B$21)</f>
        <v>0</v>
      </c>
      <c r="S33" s="16">
        <f>SUMIFS(Expenses!$G:$G,Expenses!$B:$B,$S$1,Expenses!$D:$D,B33,Expenses!$C:$C,$B$21)</f>
        <v>0</v>
      </c>
    </row>
    <row r="34" spans="1:24" ht="20.25" thickBot="1" x14ac:dyDescent="0.3">
      <c r="A34" s="17">
        <f t="shared" si="5"/>
        <v>0</v>
      </c>
      <c r="B34" s="18" t="s">
        <v>55</v>
      </c>
      <c r="C34" s="11">
        <f>SUMIFS(Expenses!$G:$G,Expenses!$B:$B,$C$1,Expenses!$D:$D,B34,Expenses!$C:$C,$B$21)</f>
        <v>0</v>
      </c>
      <c r="D34" s="11">
        <f>SUMIFS(Expenses!$G:$G,Expenses!$B:$B,$D$1,Expenses!$D:$D,B34,Expenses!$C:$C,$B$21)</f>
        <v>0</v>
      </c>
      <c r="E34" s="11">
        <f>SUMIFS(Expenses!$G:$G,Expenses!$B:$B,$E$1,Expenses!$D:$D,B34,Expenses!$C:$C,$B$21)</f>
        <v>0</v>
      </c>
      <c r="F34" s="11">
        <f>SUMIFS(Expenses!$G:$G,Expenses!$B:$B,$F$1,Expenses!$D:$D,B34,Expenses!$C:$C,$B$21)</f>
        <v>0</v>
      </c>
      <c r="G34" s="11">
        <f>SUMIFS(Expenses!$G:$G,Expenses!$B:$B,$G$1,Expenses!$D:$D,B34,Expenses!$C:$C,$B$21)</f>
        <v>0</v>
      </c>
      <c r="H34" s="11">
        <f>SUMIFS(Expenses!$G:$G,Expenses!$B:$B,$H$1,Expenses!$D:$D,B34,Expenses!$C:$C,$B$21)</f>
        <v>0</v>
      </c>
      <c r="I34" s="16">
        <f>SUMIFS(Expenses!$G:$G,Expenses!$B:$B,$I$1,Expenses!$D:$D,B34,Expenses!$C:$C,$B$21)</f>
        <v>0</v>
      </c>
      <c r="J34" s="16">
        <f>SUMIFS(Expenses!$G:$G,Expenses!$B:$B,$J$1,Expenses!$D:$D,B34,Expenses!$C:$C,$B$21)</f>
        <v>0</v>
      </c>
      <c r="K34" s="16">
        <f>SUMIFS(Expenses!$G:$G,Expenses!$B:$B,$K$1,Expenses!$D:$D,B34,Expenses!$C:$C,$B$21)</f>
        <v>0</v>
      </c>
      <c r="L34" s="16">
        <f>SUMIFS(Expenses!$G:$G,Expenses!$B:$B,$L$1,Expenses!$D:$D,B34,Expenses!$C:$C,$B$21)</f>
        <v>0</v>
      </c>
      <c r="M34" s="16">
        <f>SUMIFS(Expenses!$G:$G,Expenses!$B:$B,$M$1,Expenses!$D:$D,B34,Expenses!$C:$C,$B$21)</f>
        <v>0</v>
      </c>
      <c r="N34" s="16">
        <f>SUMIFS(Expenses!$G:$G,Expenses!$B:$B,$N$1,Expenses!$D:$D,B34,Expenses!$C:$C,$B$21)</f>
        <v>0</v>
      </c>
      <c r="O34" s="16">
        <f>SUMIFS(Expenses!$G:$G,Expenses!$B:$B,$O$1,Expenses!$D:$D,B34,Expenses!$C:$C,$B$21)</f>
        <v>0</v>
      </c>
      <c r="P34" s="16">
        <f>SUMIFS(Expenses!$G:$G,Expenses!$B:$B,$P$1,Expenses!$D:$D,B34,Expenses!$C:$C,$B$21)</f>
        <v>0</v>
      </c>
      <c r="Q34" s="16">
        <f>SUMIFS(Expenses!$G:$G,Expenses!$B:$B,$Q$1,Expenses!$D:$D,B34,Expenses!$C:$C,$B$21)</f>
        <v>0</v>
      </c>
      <c r="R34" s="16">
        <f>SUMIFS(Expenses!$G:$G,Expenses!$B:$B,$R$1,Expenses!$D:$D,B34,Expenses!$C:$C,$B$21)</f>
        <v>0</v>
      </c>
      <c r="S34" s="16">
        <f>SUMIFS(Expenses!$G:$G,Expenses!$B:$B,$S$1,Expenses!$D:$D,B34,Expenses!$C:$C,$B$21)</f>
        <v>0</v>
      </c>
    </row>
    <row r="35" spans="1:24" ht="20.25" thickBot="1" x14ac:dyDescent="0.3">
      <c r="A35" s="24">
        <f>SUM(A22:A34)</f>
        <v>0</v>
      </c>
      <c r="B35" s="24" t="s">
        <v>35</v>
      </c>
      <c r="C35" s="24">
        <f t="shared" ref="C35:N35" si="6">SUM(C22:C34)</f>
        <v>0</v>
      </c>
      <c r="D35" s="24">
        <f>SUM(D22:D34)</f>
        <v>0</v>
      </c>
      <c r="E35" s="24">
        <f t="shared" si="6"/>
        <v>0</v>
      </c>
      <c r="F35" s="24">
        <f t="shared" si="6"/>
        <v>0</v>
      </c>
      <c r="G35" s="24">
        <f t="shared" si="6"/>
        <v>0</v>
      </c>
      <c r="H35" s="24">
        <f t="shared" si="6"/>
        <v>0</v>
      </c>
      <c r="I35" s="24">
        <f t="shared" si="6"/>
        <v>0</v>
      </c>
      <c r="J35" s="24">
        <f t="shared" si="6"/>
        <v>0</v>
      </c>
      <c r="K35" s="24">
        <f t="shared" si="6"/>
        <v>0</v>
      </c>
      <c r="L35" s="24">
        <f t="shared" si="6"/>
        <v>0</v>
      </c>
      <c r="M35" s="24">
        <f t="shared" si="6"/>
        <v>0</v>
      </c>
      <c r="N35" s="24">
        <f t="shared" si="6"/>
        <v>0</v>
      </c>
      <c r="O35" s="24">
        <f t="shared" ref="O35" si="7">SUM(O22:O34)</f>
        <v>0</v>
      </c>
      <c r="P35" s="24">
        <f>SUM(P22:P34)</f>
        <v>0</v>
      </c>
      <c r="Q35" s="24">
        <f t="shared" ref="Q35:S35" si="8">SUM(Q22:Q34)</f>
        <v>0</v>
      </c>
      <c r="R35" s="24">
        <f t="shared" si="8"/>
        <v>0</v>
      </c>
      <c r="S35" s="24">
        <f t="shared" si="8"/>
        <v>0</v>
      </c>
    </row>
    <row r="36" spans="1:24" ht="20.25" thickBot="1" x14ac:dyDescent="0.3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24" ht="20.25" thickBot="1" x14ac:dyDescent="0.3">
      <c r="A37" s="22">
        <f>SUM(C37:S37)</f>
        <v>3240250</v>
      </c>
      <c r="B37" s="23" t="s">
        <v>34</v>
      </c>
      <c r="C37" s="24">
        <f t="shared" ref="C37:N37" si="9">C19+C35</f>
        <v>200000</v>
      </c>
      <c r="D37" s="24">
        <f>D19+D35</f>
        <v>350000</v>
      </c>
      <c r="E37" s="24">
        <f t="shared" si="9"/>
        <v>551054</v>
      </c>
      <c r="F37" s="24">
        <f t="shared" si="9"/>
        <v>300900</v>
      </c>
      <c r="G37" s="24">
        <f t="shared" si="9"/>
        <v>65000</v>
      </c>
      <c r="H37" s="24">
        <f t="shared" si="9"/>
        <v>266809</v>
      </c>
      <c r="I37" s="24">
        <f t="shared" si="9"/>
        <v>166237</v>
      </c>
      <c r="J37" s="24">
        <f>J19+J35</f>
        <v>0</v>
      </c>
      <c r="K37" s="24">
        <f t="shared" si="9"/>
        <v>0</v>
      </c>
      <c r="L37" s="24">
        <f t="shared" si="9"/>
        <v>200413</v>
      </c>
      <c r="M37" s="24">
        <f t="shared" si="9"/>
        <v>553084</v>
      </c>
      <c r="N37" s="24">
        <f t="shared" si="9"/>
        <v>414753</v>
      </c>
      <c r="O37" s="24">
        <f t="shared" ref="O37" si="10">O19+O35</f>
        <v>172000</v>
      </c>
      <c r="P37" s="24">
        <f>P19+P35</f>
        <v>0</v>
      </c>
      <c r="Q37" s="24">
        <f t="shared" ref="Q37:S37" si="11">Q19+Q35</f>
        <v>0</v>
      </c>
      <c r="R37" s="24">
        <f t="shared" si="11"/>
        <v>0</v>
      </c>
      <c r="S37" s="24">
        <f t="shared" si="11"/>
        <v>0</v>
      </c>
    </row>
    <row r="39" spans="1:24" s="51" customFormat="1" ht="30" customHeight="1" x14ac:dyDescent="0.25">
      <c r="B39" s="6" t="s">
        <v>240</v>
      </c>
      <c r="C39" s="95">
        <f>SUMIF('XCAL Clients Feeded'!$F:$F,'Expense Breakup'!C21,'XCAL Clients Feeded'!$J:$J)</f>
        <v>0</v>
      </c>
      <c r="D39" s="95">
        <f>SUMIF('XCAL Clients Feeded'!$F:$F,'Expense Breakup'!D21,'XCAL Clients Feeded'!$J:$J)</f>
        <v>0</v>
      </c>
      <c r="E39" s="95">
        <f>SUMIF('XCAL Clients Feeded'!$F:$F,'Expense Breakup'!E21,'XCAL Clients Feeded'!$J:$J)</f>
        <v>0</v>
      </c>
      <c r="F39" s="95">
        <f>SUMIF('XCAL Clients Feeded'!$F:$F,'Expense Breakup'!F21,'XCAL Clients Feeded'!$J:$J)</f>
        <v>0</v>
      </c>
      <c r="G39" s="95">
        <f>SUMIF('XCAL Clients Feeded'!$F:$F,'Expense Breakup'!G21,'XCAL Clients Feeded'!$J:$J)</f>
        <v>0</v>
      </c>
      <c r="H39" s="95">
        <f>SUMIF('XCAL Clients Feeded'!$F:$F,'Expense Breakup'!H21,'XCAL Clients Feeded'!$J:$J)</f>
        <v>0</v>
      </c>
      <c r="I39" s="95">
        <f>SUMIF('XCAL Clients Feeded'!$F:$F,'Expense Breakup'!I21,'XCAL Clients Feeded'!$J:$J)</f>
        <v>0</v>
      </c>
      <c r="J39" s="95">
        <f>SUMIF('XCAL Clients Feeded'!$F:$F,'Expense Breakup'!J21,'XCAL Clients Feeded'!$J:$J)</f>
        <v>98000</v>
      </c>
      <c r="K39" s="95">
        <f>SUMIF('XCAL Clients Feeded'!$F:$F,'Expense Breakup'!K21,'XCAL Clients Feeded'!$J:$J)</f>
        <v>0</v>
      </c>
      <c r="L39" s="95">
        <f>SUMIF('XCAL Clients Feeded'!$F:$F,'Expense Breakup'!L21,'XCAL Clients Feeded'!$J:$J)</f>
        <v>0</v>
      </c>
      <c r="M39" s="95">
        <f>SUMIF('XCAL Clients Feeded'!$F:$F,'Expense Breakup'!M21,'XCAL Clients Feeded'!$J:$J)</f>
        <v>519750</v>
      </c>
      <c r="N39" s="95">
        <f>SUMIF('XCAL Clients Feeded'!$F:$F,'Expense Breakup'!N21,'XCAL Clients Feeded'!$J:$J)</f>
        <v>287500</v>
      </c>
      <c r="O39" s="95">
        <f>SUMIF('XCAL Clients Feeded'!$F:$F,'Expense Breakup'!O21,'XCAL Clients Feeded'!$J:$J)</f>
        <v>20000</v>
      </c>
      <c r="P39" s="95">
        <f>SUMIF('XCAL Clients Feeded'!$F:$F,'Expense Breakup'!P21,'XCAL Clients Feeded'!$J:$J)</f>
        <v>0</v>
      </c>
      <c r="Q39" s="95">
        <f>SUMIF('XCAL Clients Feeded'!$F:$F,'Expense Breakup'!Q21,'XCAL Clients Feeded'!$J:$J)</f>
        <v>0</v>
      </c>
      <c r="R39" s="95">
        <f>SUMIF('XCAL Clients Feeded'!$F:$F,'Expense Breakup'!R21,'XCAL Clients Feeded'!$J:$J)</f>
        <v>0</v>
      </c>
      <c r="S39" s="95">
        <f>SUMIF('XCAL Clients Feeded'!$F:$F,'Expense Breakup'!S21,'XCAL Clients Feeded'!$J:$J)</f>
        <v>0</v>
      </c>
      <c r="X39" s="92"/>
    </row>
    <row r="40" spans="1:24" s="93" customFormat="1" ht="30" customHeight="1" x14ac:dyDescent="0.25">
      <c r="A40" s="20"/>
      <c r="B40" s="6" t="s">
        <v>241</v>
      </c>
      <c r="C40" s="95">
        <f>C37</f>
        <v>200000</v>
      </c>
      <c r="D40" s="95">
        <f t="shared" ref="D40:N40" si="12">D37</f>
        <v>350000</v>
      </c>
      <c r="E40" s="95">
        <f t="shared" si="12"/>
        <v>551054</v>
      </c>
      <c r="F40" s="95">
        <f t="shared" si="12"/>
        <v>300900</v>
      </c>
      <c r="G40" s="95">
        <f t="shared" si="12"/>
        <v>65000</v>
      </c>
      <c r="H40" s="95">
        <f t="shared" si="12"/>
        <v>266809</v>
      </c>
      <c r="I40" s="95">
        <f t="shared" si="12"/>
        <v>166237</v>
      </c>
      <c r="J40" s="95">
        <f t="shared" si="12"/>
        <v>0</v>
      </c>
      <c r="K40" s="95">
        <f t="shared" si="12"/>
        <v>0</v>
      </c>
      <c r="L40" s="95">
        <f t="shared" si="12"/>
        <v>200413</v>
      </c>
      <c r="M40" s="95">
        <f t="shared" si="12"/>
        <v>553084</v>
      </c>
      <c r="N40" s="95">
        <f t="shared" si="12"/>
        <v>414753</v>
      </c>
      <c r="O40" s="95">
        <f>O37</f>
        <v>172000</v>
      </c>
      <c r="P40" s="95">
        <f t="shared" ref="P40:S40" si="13">P37</f>
        <v>0</v>
      </c>
      <c r="Q40" s="95">
        <f t="shared" si="13"/>
        <v>0</v>
      </c>
      <c r="R40" s="95">
        <f t="shared" si="13"/>
        <v>0</v>
      </c>
      <c r="S40" s="95">
        <f t="shared" si="13"/>
        <v>0</v>
      </c>
      <c r="V40" s="94"/>
    </row>
    <row r="41" spans="1:24" s="93" customFormat="1" ht="30" customHeight="1" x14ac:dyDescent="0.25">
      <c r="A41" s="20"/>
      <c r="B41" s="96" t="s">
        <v>242</v>
      </c>
      <c r="C41" s="97">
        <f>C39-C40</f>
        <v>-200000</v>
      </c>
      <c r="D41" s="97">
        <f t="shared" ref="D41:N41" si="14">D39-D40</f>
        <v>-350000</v>
      </c>
      <c r="E41" s="97">
        <f t="shared" si="14"/>
        <v>-551054</v>
      </c>
      <c r="F41" s="97">
        <f t="shared" si="14"/>
        <v>-300900</v>
      </c>
      <c r="G41" s="97">
        <f t="shared" si="14"/>
        <v>-65000</v>
      </c>
      <c r="H41" s="97">
        <f t="shared" si="14"/>
        <v>-266809</v>
      </c>
      <c r="I41" s="97">
        <f t="shared" si="14"/>
        <v>-166237</v>
      </c>
      <c r="J41" s="97">
        <f t="shared" si="14"/>
        <v>98000</v>
      </c>
      <c r="K41" s="97">
        <f t="shared" si="14"/>
        <v>0</v>
      </c>
      <c r="L41" s="97">
        <f t="shared" si="14"/>
        <v>-200413</v>
      </c>
      <c r="M41" s="97">
        <f t="shared" si="14"/>
        <v>-33334</v>
      </c>
      <c r="N41" s="97">
        <f t="shared" si="14"/>
        <v>-127253</v>
      </c>
      <c r="O41" s="97">
        <f>O39-O40</f>
        <v>-152000</v>
      </c>
      <c r="P41" s="97">
        <f t="shared" ref="P41:S41" si="15">P39-P40</f>
        <v>0</v>
      </c>
      <c r="Q41" s="97">
        <f t="shared" si="15"/>
        <v>0</v>
      </c>
      <c r="R41" s="97">
        <f t="shared" si="15"/>
        <v>0</v>
      </c>
      <c r="S41" s="97">
        <f t="shared" si="15"/>
        <v>0</v>
      </c>
    </row>
    <row r="43" spans="1:24" x14ac:dyDescent="0.25">
      <c r="M43" s="100"/>
    </row>
    <row r="44" spans="1:24" x14ac:dyDescent="0.25">
      <c r="M44" s="100"/>
    </row>
    <row r="50" spans="13:13" x14ac:dyDescent="0.25">
      <c r="M50" s="100"/>
    </row>
  </sheetData>
  <pageMargins left="0.7" right="0.7" top="0.75" bottom="0.75" header="0.3" footer="0.3"/>
  <pageSetup paperSize="9" scale="4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Views>
    <sheetView workbookViewId="0">
      <selection activeCell="A3" sqref="A3"/>
    </sheetView>
  </sheetViews>
  <sheetFormatPr defaultColWidth="8.85546875" defaultRowHeight="16.5" x14ac:dyDescent="0.25"/>
  <cols>
    <col min="1" max="1" width="19.85546875" style="78" bestFit="1" customWidth="1"/>
    <col min="2" max="2" width="26.28515625" style="78" customWidth="1"/>
    <col min="3" max="5" width="21.7109375" style="78" customWidth="1"/>
    <col min="6" max="16384" width="8.85546875" style="73"/>
  </cols>
  <sheetData>
    <row r="2" spans="1:5" x14ac:dyDescent="0.25">
      <c r="A2" s="80" t="s">
        <v>14</v>
      </c>
      <c r="B2" s="80" t="s">
        <v>38</v>
      </c>
      <c r="C2" s="80" t="s">
        <v>42</v>
      </c>
      <c r="D2" s="80" t="s">
        <v>41</v>
      </c>
      <c r="E2" s="80" t="s">
        <v>27</v>
      </c>
    </row>
    <row r="3" spans="1:5" x14ac:dyDescent="0.25">
      <c r="A3" s="81">
        <v>43889</v>
      </c>
      <c r="B3" s="74">
        <v>0</v>
      </c>
      <c r="C3" s="74">
        <f>B3/3</f>
        <v>0</v>
      </c>
      <c r="D3" s="74">
        <f>C3</f>
        <v>0</v>
      </c>
      <c r="E3" s="74">
        <f>D3</f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I6" sqref="I6"/>
    </sheetView>
  </sheetViews>
  <sheetFormatPr defaultColWidth="8.85546875" defaultRowHeight="28.9" customHeight="1" x14ac:dyDescent="0.25"/>
  <cols>
    <col min="1" max="1" width="36.7109375" style="9" customWidth="1"/>
    <col min="2" max="2" width="24.42578125" style="3" customWidth="1"/>
    <col min="3" max="3" width="7.140625" style="3" bestFit="1" customWidth="1"/>
    <col min="4" max="4" width="23" style="3" bestFit="1" customWidth="1"/>
    <col min="5" max="5" width="15.5703125" style="3" bestFit="1" customWidth="1"/>
    <col min="6" max="6" width="8.85546875" style="3"/>
    <col min="7" max="7" width="15.7109375" style="3" bestFit="1" customWidth="1"/>
    <col min="8" max="8" width="8.85546875" style="3"/>
    <col min="9" max="9" width="19.5703125" style="3" bestFit="1" customWidth="1"/>
    <col min="10" max="10" width="15.7109375" style="3" bestFit="1" customWidth="1"/>
    <col min="11" max="16384" width="8.85546875" style="3"/>
  </cols>
  <sheetData>
    <row r="1" spans="1:10" ht="28.9" customHeight="1" x14ac:dyDescent="0.25">
      <c r="A1" s="32" t="s">
        <v>45</v>
      </c>
      <c r="B1" s="33">
        <v>44076</v>
      </c>
      <c r="C1" s="35">
        <v>0.63888888888888895</v>
      </c>
    </row>
    <row r="2" spans="1:10" ht="28.9" customHeight="1" x14ac:dyDescent="0.25">
      <c r="A2" s="2"/>
    </row>
    <row r="3" spans="1:10" ht="28.9" customHeight="1" x14ac:dyDescent="0.25">
      <c r="A3" s="4" t="s">
        <v>58</v>
      </c>
      <c r="B3" s="5">
        <f>SUM('Paid up Capital'!C2:C37)</f>
        <v>2315000</v>
      </c>
    </row>
    <row r="4" spans="1:10" ht="28.9" customHeight="1" x14ac:dyDescent="0.25">
      <c r="A4" s="4" t="s">
        <v>40</v>
      </c>
      <c r="B4" s="5">
        <f>'Total Sales'!$C$4</f>
        <v>925250</v>
      </c>
    </row>
    <row r="5" spans="1:10" ht="28.9" customHeight="1" x14ac:dyDescent="0.25">
      <c r="A5" s="4" t="s">
        <v>278</v>
      </c>
      <c r="B5" s="5">
        <v>0</v>
      </c>
    </row>
    <row r="6" spans="1:10" ht="28.9" customHeight="1" x14ac:dyDescent="0.25">
      <c r="A6" s="4" t="s">
        <v>39</v>
      </c>
      <c r="B6" s="5">
        <f>-Expenses!$I$1</f>
        <v>-3240250</v>
      </c>
      <c r="I6" s="52" t="s">
        <v>265</v>
      </c>
    </row>
    <row r="7" spans="1:10" ht="28.9" customHeight="1" x14ac:dyDescent="0.25">
      <c r="A7" s="4" t="s">
        <v>38</v>
      </c>
      <c r="B7" s="5">
        <f>-SUM(Distribution!B3:B44)</f>
        <v>0</v>
      </c>
      <c r="D7" s="36">
        <f>'XCAL Account'!F3</f>
        <v>0</v>
      </c>
      <c r="E7" s="4" t="s">
        <v>202</v>
      </c>
      <c r="I7" s="36">
        <v>0</v>
      </c>
      <c r="J7" s="36">
        <f>D7-I7</f>
        <v>0</v>
      </c>
    </row>
    <row r="8" spans="1:10" ht="28.9" customHeight="1" x14ac:dyDescent="0.25">
      <c r="A8" s="6" t="s">
        <v>37</v>
      </c>
      <c r="B8" s="7">
        <f>B3+B4+B5+B6</f>
        <v>0</v>
      </c>
      <c r="D8" s="37">
        <f>SUM(D7:D7)</f>
        <v>0</v>
      </c>
      <c r="E8" s="7" t="s">
        <v>13</v>
      </c>
      <c r="G8" s="10">
        <f>D8-B8</f>
        <v>0</v>
      </c>
    </row>
    <row r="9" spans="1:10" ht="28.9" customHeight="1" x14ac:dyDescent="0.25">
      <c r="A9" s="4"/>
      <c r="B9" s="5"/>
      <c r="G9" s="10"/>
    </row>
    <row r="10" spans="1:10" ht="28.9" customHeight="1" x14ac:dyDescent="0.25">
      <c r="A10" s="4"/>
      <c r="B10" s="5"/>
    </row>
    <row r="11" spans="1:10" ht="28.9" customHeight="1" x14ac:dyDescent="0.25">
      <c r="A11" s="6" t="s">
        <v>36</v>
      </c>
      <c r="B11" s="7">
        <f>B8+B9+B10</f>
        <v>0</v>
      </c>
    </row>
    <row r="12" spans="1:10" ht="28.9" customHeight="1" x14ac:dyDescent="0.25">
      <c r="B12" s="8"/>
    </row>
    <row r="13" spans="1:10" ht="28.9" customHeight="1" x14ac:dyDescent="0.25">
      <c r="A13" s="3"/>
    </row>
    <row r="14" spans="1:10" ht="28.9" customHeight="1" x14ac:dyDescent="0.25">
      <c r="B14" s="10"/>
    </row>
    <row r="15" spans="1:10" ht="28.9" customHeight="1" x14ac:dyDescent="0.25">
      <c r="B15" s="10"/>
    </row>
    <row r="16" spans="1:10" ht="28.9" customHeight="1" x14ac:dyDescent="0.25">
      <c r="B16" s="10"/>
    </row>
    <row r="17" spans="2:2" ht="28.9" customHeight="1" x14ac:dyDescent="0.25">
      <c r="B17" s="1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2"/>
  <sheetViews>
    <sheetView topLeftCell="A41" workbookViewId="0">
      <selection activeCell="A62" sqref="A62"/>
    </sheetView>
  </sheetViews>
  <sheetFormatPr defaultColWidth="9.140625" defaultRowHeight="16.5" x14ac:dyDescent="0.25"/>
  <cols>
    <col min="1" max="1" width="12.85546875" style="77" bestFit="1" customWidth="1"/>
    <col min="2" max="2" width="40.28515625" style="77" bestFit="1" customWidth="1"/>
    <col min="3" max="3" width="9.85546875" style="77" bestFit="1" customWidth="1"/>
    <col min="4" max="4" width="8.85546875" style="77" customWidth="1"/>
    <col min="5" max="5" width="14.28515625" style="77" bestFit="1" customWidth="1"/>
    <col min="6" max="6" width="11.28515625" style="77" bestFit="1" customWidth="1"/>
    <col min="7" max="7" width="8.85546875" style="77"/>
    <col min="8" max="8" width="16.140625" style="77" bestFit="1" customWidth="1"/>
    <col min="9" max="16384" width="9.140625" style="77"/>
  </cols>
  <sheetData>
    <row r="1" spans="1:8" x14ac:dyDescent="0.25">
      <c r="A1" s="83" t="s">
        <v>14</v>
      </c>
      <c r="B1" s="83" t="s">
        <v>48</v>
      </c>
      <c r="C1" s="83" t="s">
        <v>49</v>
      </c>
      <c r="E1" s="83" t="s">
        <v>50</v>
      </c>
      <c r="F1" s="82">
        <f>SUM(C2:C9864)</f>
        <v>2794860</v>
      </c>
      <c r="H1" s="77" t="s">
        <v>200</v>
      </c>
    </row>
    <row r="2" spans="1:8" x14ac:dyDescent="0.25">
      <c r="A2" s="75">
        <v>43865</v>
      </c>
      <c r="B2" s="84" t="s">
        <v>194</v>
      </c>
      <c r="C2" s="82">
        <v>150000</v>
      </c>
      <c r="E2" s="83" t="s">
        <v>39</v>
      </c>
      <c r="F2" s="82">
        <f>SUMIF(Expenses!E:E,'XCAL Account'!H1,Expenses!G:G)</f>
        <v>2794860</v>
      </c>
      <c r="H2" s="77" t="s">
        <v>201</v>
      </c>
    </row>
    <row r="3" spans="1:8" x14ac:dyDescent="0.25">
      <c r="A3" s="75">
        <v>43892</v>
      </c>
      <c r="B3" s="84" t="s">
        <v>195</v>
      </c>
      <c r="C3" s="82">
        <v>800000</v>
      </c>
      <c r="E3" s="83" t="s">
        <v>4</v>
      </c>
      <c r="F3" s="82">
        <f>F1-F2</f>
        <v>0</v>
      </c>
    </row>
    <row r="4" spans="1:8" x14ac:dyDescent="0.25">
      <c r="A4" s="75">
        <v>43892</v>
      </c>
      <c r="B4" s="84" t="s">
        <v>196</v>
      </c>
      <c r="C4" s="82">
        <v>800000</v>
      </c>
    </row>
    <row r="5" spans="1:8" x14ac:dyDescent="0.25">
      <c r="A5" s="75">
        <v>43903</v>
      </c>
      <c r="B5" s="72" t="s">
        <v>66</v>
      </c>
      <c r="C5" s="82">
        <v>28000</v>
      </c>
    </row>
    <row r="6" spans="1:8" x14ac:dyDescent="0.25">
      <c r="A6" s="75">
        <v>43904</v>
      </c>
      <c r="B6" s="72" t="s">
        <v>67</v>
      </c>
      <c r="C6" s="82">
        <v>14000</v>
      </c>
    </row>
    <row r="7" spans="1:8" x14ac:dyDescent="0.25">
      <c r="A7" s="75">
        <v>43906</v>
      </c>
      <c r="B7" s="72" t="s">
        <v>68</v>
      </c>
      <c r="C7" s="82">
        <v>56000</v>
      </c>
    </row>
    <row r="8" spans="1:8" x14ac:dyDescent="0.25">
      <c r="A8" s="57">
        <v>43967</v>
      </c>
      <c r="B8" s="99" t="s">
        <v>277</v>
      </c>
      <c r="C8" s="91">
        <v>-10000</v>
      </c>
    </row>
    <row r="9" spans="1:8" x14ac:dyDescent="0.25">
      <c r="A9" s="57">
        <v>43983</v>
      </c>
      <c r="B9" s="99" t="s">
        <v>277</v>
      </c>
      <c r="C9" s="91">
        <v>-20000</v>
      </c>
    </row>
    <row r="10" spans="1:8" x14ac:dyDescent="0.25">
      <c r="A10" s="57">
        <v>43984</v>
      </c>
      <c r="B10" s="84" t="s">
        <v>193</v>
      </c>
      <c r="C10" s="91">
        <v>28000</v>
      </c>
    </row>
    <row r="11" spans="1:8" x14ac:dyDescent="0.25">
      <c r="A11" s="57">
        <v>43985</v>
      </c>
      <c r="B11" s="84" t="s">
        <v>194</v>
      </c>
      <c r="C11" s="91">
        <v>315000</v>
      </c>
    </row>
    <row r="12" spans="1:8" x14ac:dyDescent="0.25">
      <c r="A12" s="57">
        <v>43985</v>
      </c>
      <c r="B12" s="99" t="s">
        <v>277</v>
      </c>
      <c r="C12" s="91">
        <v>-20000</v>
      </c>
    </row>
    <row r="13" spans="1:8" x14ac:dyDescent="0.25">
      <c r="A13" s="57">
        <v>43986</v>
      </c>
      <c r="B13" s="84" t="s">
        <v>204</v>
      </c>
      <c r="C13" s="91">
        <v>26000</v>
      </c>
    </row>
    <row r="14" spans="1:8" x14ac:dyDescent="0.25">
      <c r="A14" s="57">
        <v>43990</v>
      </c>
      <c r="B14" s="84" t="s">
        <v>209</v>
      </c>
      <c r="C14" s="91">
        <v>125000</v>
      </c>
    </row>
    <row r="15" spans="1:8" x14ac:dyDescent="0.25">
      <c r="A15" s="57">
        <v>43990</v>
      </c>
      <c r="B15" s="99" t="s">
        <v>277</v>
      </c>
      <c r="C15" s="91">
        <v>-25000</v>
      </c>
    </row>
    <row r="16" spans="1:8" x14ac:dyDescent="0.25">
      <c r="A16" s="57">
        <v>43991</v>
      </c>
      <c r="B16" s="99" t="s">
        <v>277</v>
      </c>
      <c r="C16" s="91">
        <v>-20000</v>
      </c>
    </row>
    <row r="17" spans="1:3" x14ac:dyDescent="0.25">
      <c r="A17" s="57">
        <v>43992</v>
      </c>
      <c r="B17" s="99" t="s">
        <v>277</v>
      </c>
      <c r="C17" s="91">
        <v>-8000</v>
      </c>
    </row>
    <row r="18" spans="1:3" x14ac:dyDescent="0.25">
      <c r="A18" s="57">
        <v>43993</v>
      </c>
      <c r="B18" s="84" t="s">
        <v>211</v>
      </c>
      <c r="C18" s="91">
        <v>26000</v>
      </c>
    </row>
    <row r="19" spans="1:3" x14ac:dyDescent="0.25">
      <c r="A19" s="57">
        <v>43995</v>
      </c>
      <c r="B19" s="99" t="s">
        <v>277</v>
      </c>
      <c r="C19" s="91">
        <v>-10000</v>
      </c>
    </row>
    <row r="20" spans="1:3" x14ac:dyDescent="0.25">
      <c r="A20" s="57">
        <v>43997</v>
      </c>
      <c r="B20" s="84" t="s">
        <v>231</v>
      </c>
      <c r="C20" s="91">
        <v>10000</v>
      </c>
    </row>
    <row r="21" spans="1:3" x14ac:dyDescent="0.25">
      <c r="A21" s="57">
        <v>43997</v>
      </c>
      <c r="B21" s="99" t="s">
        <v>277</v>
      </c>
      <c r="C21" s="91">
        <v>-15000</v>
      </c>
    </row>
    <row r="22" spans="1:3" x14ac:dyDescent="0.25">
      <c r="A22" s="57">
        <v>43999</v>
      </c>
      <c r="B22" s="99" t="s">
        <v>277</v>
      </c>
      <c r="C22" s="91">
        <v>-20000</v>
      </c>
    </row>
    <row r="23" spans="1:3" x14ac:dyDescent="0.25">
      <c r="A23" s="57">
        <v>43999</v>
      </c>
      <c r="B23" s="84" t="s">
        <v>239</v>
      </c>
      <c r="C23" s="91">
        <v>18000</v>
      </c>
    </row>
    <row r="24" spans="1:3" x14ac:dyDescent="0.25">
      <c r="A24" s="57">
        <v>44000</v>
      </c>
      <c r="B24" s="84" t="s">
        <v>243</v>
      </c>
      <c r="C24" s="91">
        <v>40000</v>
      </c>
    </row>
    <row r="25" spans="1:3" x14ac:dyDescent="0.25">
      <c r="A25" s="57">
        <v>44002</v>
      </c>
      <c r="B25" s="99" t="s">
        <v>277</v>
      </c>
      <c r="C25" s="91">
        <v>-20000</v>
      </c>
    </row>
    <row r="26" spans="1:3" x14ac:dyDescent="0.25">
      <c r="A26" s="57">
        <v>44004</v>
      </c>
      <c r="B26" s="99" t="s">
        <v>277</v>
      </c>
      <c r="C26" s="91">
        <v>-30000</v>
      </c>
    </row>
    <row r="27" spans="1:3" x14ac:dyDescent="0.25">
      <c r="A27" s="57">
        <v>44007</v>
      </c>
      <c r="B27" s="99" t="s">
        <v>277</v>
      </c>
      <c r="C27" s="91">
        <v>-20000</v>
      </c>
    </row>
    <row r="28" spans="1:3" x14ac:dyDescent="0.25">
      <c r="A28" s="57">
        <v>44007</v>
      </c>
      <c r="B28" s="84" t="s">
        <v>264</v>
      </c>
      <c r="C28" s="91">
        <v>26000</v>
      </c>
    </row>
    <row r="29" spans="1:3" x14ac:dyDescent="0.25">
      <c r="A29" s="57">
        <v>44009</v>
      </c>
      <c r="B29" s="99" t="s">
        <v>277</v>
      </c>
      <c r="C29" s="91">
        <v>-14000</v>
      </c>
    </row>
    <row r="30" spans="1:3" x14ac:dyDescent="0.25">
      <c r="A30" s="57">
        <v>44011</v>
      </c>
      <c r="B30" s="99" t="s">
        <v>277</v>
      </c>
      <c r="C30" s="91">
        <v>-20000</v>
      </c>
    </row>
    <row r="31" spans="1:3" x14ac:dyDescent="0.25">
      <c r="A31" s="75">
        <v>44012</v>
      </c>
      <c r="B31" s="84" t="s">
        <v>268</v>
      </c>
      <c r="C31" s="91">
        <v>14000</v>
      </c>
    </row>
    <row r="32" spans="1:3" x14ac:dyDescent="0.25">
      <c r="A32" s="75">
        <v>44012</v>
      </c>
      <c r="B32" s="84" t="s">
        <v>318</v>
      </c>
      <c r="C32" s="91">
        <v>150000</v>
      </c>
    </row>
    <row r="33" spans="1:3" x14ac:dyDescent="0.25">
      <c r="A33" s="75">
        <v>44012</v>
      </c>
      <c r="B33" s="84" t="s">
        <v>271</v>
      </c>
      <c r="C33" s="91">
        <v>132750</v>
      </c>
    </row>
    <row r="34" spans="1:3" x14ac:dyDescent="0.25">
      <c r="A34" s="57">
        <v>44014</v>
      </c>
      <c r="B34" s="84" t="s">
        <v>275</v>
      </c>
      <c r="C34" s="91">
        <v>52000</v>
      </c>
    </row>
    <row r="35" spans="1:3" x14ac:dyDescent="0.25">
      <c r="A35" s="57">
        <v>44014</v>
      </c>
      <c r="B35" s="99" t="s">
        <v>277</v>
      </c>
      <c r="C35" s="91">
        <v>-20000</v>
      </c>
    </row>
    <row r="36" spans="1:3" x14ac:dyDescent="0.25">
      <c r="A36" s="57">
        <v>44015</v>
      </c>
      <c r="B36" s="99" t="s">
        <v>277</v>
      </c>
      <c r="C36" s="91">
        <v>-18000</v>
      </c>
    </row>
    <row r="37" spans="1:3" x14ac:dyDescent="0.25">
      <c r="A37" s="57">
        <v>44018</v>
      </c>
      <c r="B37" s="84" t="s">
        <v>279</v>
      </c>
      <c r="C37" s="91">
        <v>18000</v>
      </c>
    </row>
    <row r="38" spans="1:3" x14ac:dyDescent="0.25">
      <c r="A38" s="57">
        <v>44019</v>
      </c>
      <c r="B38" s="99" t="s">
        <v>277</v>
      </c>
      <c r="C38" s="91">
        <v>-20000</v>
      </c>
    </row>
    <row r="39" spans="1:3" x14ac:dyDescent="0.25">
      <c r="A39" s="57">
        <v>44020</v>
      </c>
      <c r="B39" s="84" t="s">
        <v>286</v>
      </c>
      <c r="C39" s="91">
        <v>14000</v>
      </c>
    </row>
    <row r="40" spans="1:3" x14ac:dyDescent="0.25">
      <c r="A40" s="57">
        <v>44020</v>
      </c>
      <c r="B40" s="84" t="s">
        <v>287</v>
      </c>
      <c r="C40" s="91">
        <v>24000</v>
      </c>
    </row>
    <row r="41" spans="1:3" x14ac:dyDescent="0.25">
      <c r="A41" s="57">
        <v>44022</v>
      </c>
      <c r="B41" s="99" t="s">
        <v>277</v>
      </c>
      <c r="C41" s="91">
        <v>-20000</v>
      </c>
    </row>
    <row r="42" spans="1:3" x14ac:dyDescent="0.25">
      <c r="A42" s="57">
        <v>44025</v>
      </c>
      <c r="B42" s="84" t="s">
        <v>289</v>
      </c>
      <c r="C42" s="91">
        <v>8000</v>
      </c>
    </row>
    <row r="43" spans="1:3" x14ac:dyDescent="0.25">
      <c r="A43" s="57">
        <v>44025</v>
      </c>
      <c r="B43" s="84" t="s">
        <v>290</v>
      </c>
      <c r="C43" s="91">
        <v>14000</v>
      </c>
    </row>
    <row r="44" spans="1:3" x14ac:dyDescent="0.25">
      <c r="A44" s="57">
        <v>44025</v>
      </c>
      <c r="B44" s="99" t="s">
        <v>277</v>
      </c>
      <c r="C44" s="91">
        <v>-20000</v>
      </c>
    </row>
    <row r="45" spans="1:3" x14ac:dyDescent="0.25">
      <c r="A45" s="57">
        <v>44025</v>
      </c>
      <c r="B45" s="84" t="s">
        <v>291</v>
      </c>
      <c r="C45" s="91">
        <v>14000</v>
      </c>
    </row>
    <row r="46" spans="1:3" x14ac:dyDescent="0.25">
      <c r="A46" s="57">
        <v>44027</v>
      </c>
      <c r="B46" s="84" t="s">
        <v>292</v>
      </c>
      <c r="C46" s="91">
        <v>92000</v>
      </c>
    </row>
    <row r="47" spans="1:3" x14ac:dyDescent="0.25">
      <c r="A47" s="57">
        <v>44028</v>
      </c>
      <c r="B47" s="99" t="s">
        <v>277</v>
      </c>
      <c r="C47" s="91">
        <v>-8000</v>
      </c>
    </row>
    <row r="48" spans="1:3" x14ac:dyDescent="0.25">
      <c r="A48" s="57">
        <v>44029</v>
      </c>
      <c r="B48" s="84" t="s">
        <v>293</v>
      </c>
      <c r="C48" s="91">
        <v>8000</v>
      </c>
    </row>
    <row r="49" spans="1:3" x14ac:dyDescent="0.25">
      <c r="A49" s="57">
        <v>44029</v>
      </c>
      <c r="B49" s="84" t="s">
        <v>294</v>
      </c>
      <c r="C49" s="91">
        <v>20000</v>
      </c>
    </row>
    <row r="50" spans="1:3" x14ac:dyDescent="0.25">
      <c r="A50" s="57">
        <v>44032</v>
      </c>
      <c r="B50" s="84" t="s">
        <v>296</v>
      </c>
      <c r="C50" s="91">
        <v>2000</v>
      </c>
    </row>
    <row r="51" spans="1:3" x14ac:dyDescent="0.25">
      <c r="A51" s="57">
        <v>44032</v>
      </c>
      <c r="B51" s="99" t="s">
        <v>277</v>
      </c>
      <c r="C51" s="91">
        <v>-22000</v>
      </c>
    </row>
    <row r="52" spans="1:3" x14ac:dyDescent="0.25">
      <c r="A52" s="57">
        <v>44036</v>
      </c>
      <c r="B52" s="99" t="s">
        <v>277</v>
      </c>
      <c r="C52" s="91">
        <v>-8000</v>
      </c>
    </row>
    <row r="53" spans="1:3" x14ac:dyDescent="0.25">
      <c r="A53" s="57">
        <v>44039</v>
      </c>
      <c r="B53" s="84" t="s">
        <v>298</v>
      </c>
      <c r="C53" s="91">
        <v>8000</v>
      </c>
    </row>
    <row r="54" spans="1:3" x14ac:dyDescent="0.25">
      <c r="A54" s="57">
        <v>44039</v>
      </c>
      <c r="B54" s="99" t="s">
        <v>277</v>
      </c>
      <c r="C54" s="91">
        <v>-25000</v>
      </c>
    </row>
    <row r="55" spans="1:3" x14ac:dyDescent="0.25">
      <c r="A55" s="57">
        <v>44041</v>
      </c>
      <c r="B55" s="84" t="s">
        <v>299</v>
      </c>
      <c r="C55" s="91">
        <v>43500</v>
      </c>
    </row>
    <row r="56" spans="1:3" x14ac:dyDescent="0.25">
      <c r="A56" s="57">
        <v>44048</v>
      </c>
      <c r="B56" s="99" t="s">
        <v>277</v>
      </c>
      <c r="C56" s="91">
        <v>-20000</v>
      </c>
    </row>
    <row r="57" spans="1:3" x14ac:dyDescent="0.25">
      <c r="A57" s="57">
        <v>44051</v>
      </c>
      <c r="B57" s="99" t="s">
        <v>277</v>
      </c>
      <c r="C57" s="91">
        <v>-20000</v>
      </c>
    </row>
    <row r="58" spans="1:3" x14ac:dyDescent="0.25">
      <c r="A58" s="57">
        <v>44053</v>
      </c>
      <c r="B58" s="84" t="s">
        <v>305</v>
      </c>
      <c r="C58" s="91">
        <v>20000</v>
      </c>
    </row>
    <row r="59" spans="1:3" x14ac:dyDescent="0.25">
      <c r="A59" s="57">
        <v>44061</v>
      </c>
      <c r="B59" s="99" t="s">
        <v>306</v>
      </c>
      <c r="C59" s="91">
        <v>7610</v>
      </c>
    </row>
    <row r="60" spans="1:3" x14ac:dyDescent="0.25">
      <c r="A60" s="57">
        <v>44062</v>
      </c>
      <c r="B60" s="84" t="s">
        <v>307</v>
      </c>
      <c r="C60" s="91">
        <v>34000</v>
      </c>
    </row>
    <row r="61" spans="1:3" x14ac:dyDescent="0.25">
      <c r="A61" s="57">
        <v>44069</v>
      </c>
      <c r="B61" s="84" t="s">
        <v>308</v>
      </c>
      <c r="C61" s="91">
        <v>10000</v>
      </c>
    </row>
    <row r="62" spans="1:3" x14ac:dyDescent="0.25">
      <c r="A62" s="75">
        <v>44086</v>
      </c>
      <c r="B62" s="84" t="s">
        <v>318</v>
      </c>
      <c r="C62" s="91">
        <v>100000</v>
      </c>
    </row>
    <row r="63" spans="1:3" x14ac:dyDescent="0.25">
      <c r="A63" s="75"/>
      <c r="B63" s="79"/>
      <c r="C63" s="82"/>
    </row>
    <row r="64" spans="1:3" x14ac:dyDescent="0.25">
      <c r="A64" s="75"/>
      <c r="B64" s="79"/>
      <c r="C64" s="82"/>
    </row>
    <row r="65" spans="1:3" x14ac:dyDescent="0.25">
      <c r="A65" s="75"/>
      <c r="B65" s="79"/>
      <c r="C65" s="82"/>
    </row>
    <row r="66" spans="1:3" x14ac:dyDescent="0.25">
      <c r="A66" s="75"/>
      <c r="B66" s="79"/>
      <c r="C66" s="82"/>
    </row>
    <row r="67" spans="1:3" x14ac:dyDescent="0.25">
      <c r="A67" s="75"/>
      <c r="B67" s="79"/>
      <c r="C67" s="82"/>
    </row>
    <row r="68" spans="1:3" x14ac:dyDescent="0.25">
      <c r="A68" s="75"/>
      <c r="B68" s="79"/>
      <c r="C68" s="82"/>
    </row>
    <row r="69" spans="1:3" x14ac:dyDescent="0.25">
      <c r="A69" s="75"/>
      <c r="B69" s="79"/>
      <c r="C69" s="82"/>
    </row>
    <row r="70" spans="1:3" x14ac:dyDescent="0.25">
      <c r="A70" s="75"/>
      <c r="B70" s="79"/>
      <c r="C70" s="82"/>
    </row>
    <row r="71" spans="1:3" x14ac:dyDescent="0.25">
      <c r="A71" s="75"/>
      <c r="B71" s="79"/>
      <c r="C71" s="82"/>
    </row>
    <row r="72" spans="1:3" x14ac:dyDescent="0.25">
      <c r="A72" s="75"/>
      <c r="B72" s="79"/>
      <c r="C72" s="82"/>
    </row>
    <row r="73" spans="1:3" x14ac:dyDescent="0.25">
      <c r="A73" s="75"/>
      <c r="B73" s="79"/>
      <c r="C73" s="82"/>
    </row>
    <row r="74" spans="1:3" x14ac:dyDescent="0.25">
      <c r="A74" s="75"/>
      <c r="B74" s="79"/>
      <c r="C74" s="82"/>
    </row>
    <row r="75" spans="1:3" x14ac:dyDescent="0.25">
      <c r="A75" s="75"/>
      <c r="B75" s="79"/>
      <c r="C75" s="82"/>
    </row>
    <row r="76" spans="1:3" x14ac:dyDescent="0.25">
      <c r="A76" s="75"/>
      <c r="B76" s="79"/>
      <c r="C76" s="82"/>
    </row>
    <row r="77" spans="1:3" x14ac:dyDescent="0.25">
      <c r="A77" s="75"/>
      <c r="B77" s="79"/>
      <c r="C77" s="82"/>
    </row>
    <row r="78" spans="1:3" x14ac:dyDescent="0.25">
      <c r="A78" s="75"/>
      <c r="B78" s="79"/>
      <c r="C78" s="82"/>
    </row>
    <row r="79" spans="1:3" x14ac:dyDescent="0.25">
      <c r="A79" s="75"/>
      <c r="B79" s="79"/>
      <c r="C79" s="82"/>
    </row>
    <row r="80" spans="1:3" x14ac:dyDescent="0.25">
      <c r="A80" s="75"/>
      <c r="B80" s="79"/>
      <c r="C80" s="82"/>
    </row>
    <row r="81" spans="1:3" x14ac:dyDescent="0.25">
      <c r="A81" s="75"/>
      <c r="B81" s="79"/>
      <c r="C81" s="82"/>
    </row>
    <row r="82" spans="1:3" x14ac:dyDescent="0.25">
      <c r="A82" s="75"/>
      <c r="B82" s="79"/>
      <c r="C82" s="82"/>
    </row>
    <row r="83" spans="1:3" x14ac:dyDescent="0.25">
      <c r="A83" s="75"/>
      <c r="B83" s="79"/>
      <c r="C83" s="82"/>
    </row>
    <row r="84" spans="1:3" x14ac:dyDescent="0.25">
      <c r="A84" s="75"/>
      <c r="B84" s="79"/>
      <c r="C84" s="82"/>
    </row>
    <row r="85" spans="1:3" x14ac:dyDescent="0.25">
      <c r="A85" s="75"/>
      <c r="B85" s="79"/>
      <c r="C85" s="82"/>
    </row>
    <row r="86" spans="1:3" x14ac:dyDescent="0.25">
      <c r="A86" s="75"/>
      <c r="B86" s="79"/>
      <c r="C86" s="82"/>
    </row>
    <row r="87" spans="1:3" x14ac:dyDescent="0.25">
      <c r="A87" s="75"/>
      <c r="B87" s="79"/>
      <c r="C87" s="82"/>
    </row>
    <row r="88" spans="1:3" x14ac:dyDescent="0.25">
      <c r="A88" s="75"/>
      <c r="B88" s="79"/>
      <c r="C88" s="82"/>
    </row>
    <row r="89" spans="1:3" x14ac:dyDescent="0.25">
      <c r="A89" s="75"/>
      <c r="B89" s="79"/>
      <c r="C89" s="82"/>
    </row>
    <row r="90" spans="1:3" x14ac:dyDescent="0.25">
      <c r="A90" s="75"/>
      <c r="B90" s="79"/>
      <c r="C90" s="82"/>
    </row>
    <row r="91" spans="1:3" x14ac:dyDescent="0.25">
      <c r="A91" s="75"/>
      <c r="B91" s="79"/>
      <c r="C91" s="82"/>
    </row>
    <row r="92" spans="1:3" x14ac:dyDescent="0.25">
      <c r="A92" s="75"/>
      <c r="B92" s="79"/>
      <c r="C92" s="82"/>
    </row>
    <row r="93" spans="1:3" x14ac:dyDescent="0.25">
      <c r="A93" s="75"/>
      <c r="B93" s="79"/>
      <c r="C93" s="82"/>
    </row>
    <row r="94" spans="1:3" x14ac:dyDescent="0.25">
      <c r="A94" s="75"/>
      <c r="B94" s="79"/>
      <c r="C94" s="82"/>
    </row>
    <row r="95" spans="1:3" x14ac:dyDescent="0.25">
      <c r="A95" s="75"/>
      <c r="B95" s="79"/>
      <c r="C95" s="82"/>
    </row>
    <row r="96" spans="1:3" x14ac:dyDescent="0.25">
      <c r="A96" s="75"/>
      <c r="B96" s="79"/>
      <c r="C96" s="82"/>
    </row>
    <row r="97" spans="1:3" x14ac:dyDescent="0.25">
      <c r="A97" s="75"/>
      <c r="B97" s="79"/>
      <c r="C97" s="82"/>
    </row>
    <row r="98" spans="1:3" x14ac:dyDescent="0.25">
      <c r="A98" s="75"/>
      <c r="B98" s="79"/>
      <c r="C98" s="82"/>
    </row>
    <row r="99" spans="1:3" x14ac:dyDescent="0.25">
      <c r="A99" s="75"/>
      <c r="B99" s="79"/>
      <c r="C99" s="82"/>
    </row>
    <row r="100" spans="1:3" x14ac:dyDescent="0.25">
      <c r="A100" s="75"/>
      <c r="B100" s="79"/>
      <c r="C100" s="82"/>
    </row>
    <row r="101" spans="1:3" x14ac:dyDescent="0.25">
      <c r="A101" s="75"/>
      <c r="B101" s="79"/>
      <c r="C101" s="82"/>
    </row>
    <row r="102" spans="1:3" x14ac:dyDescent="0.25">
      <c r="A102" s="75"/>
      <c r="B102" s="79"/>
      <c r="C102" s="82"/>
    </row>
    <row r="103" spans="1:3" x14ac:dyDescent="0.25">
      <c r="A103" s="75"/>
      <c r="B103" s="79"/>
      <c r="C103" s="82"/>
    </row>
    <row r="104" spans="1:3" x14ac:dyDescent="0.25">
      <c r="A104" s="75"/>
      <c r="B104" s="79"/>
      <c r="C104" s="82"/>
    </row>
    <row r="105" spans="1:3" x14ac:dyDescent="0.25">
      <c r="A105" s="75"/>
      <c r="B105" s="79"/>
      <c r="C105" s="82"/>
    </row>
    <row r="106" spans="1:3" x14ac:dyDescent="0.25">
      <c r="A106" s="75"/>
      <c r="B106" s="79"/>
      <c r="C106" s="82"/>
    </row>
    <row r="107" spans="1:3" x14ac:dyDescent="0.25">
      <c r="A107" s="75"/>
      <c r="B107" s="79"/>
      <c r="C107" s="82"/>
    </row>
    <row r="108" spans="1:3" x14ac:dyDescent="0.25">
      <c r="A108" s="75"/>
      <c r="B108" s="79"/>
      <c r="C108" s="82"/>
    </row>
    <row r="109" spans="1:3" x14ac:dyDescent="0.25">
      <c r="A109" s="75"/>
      <c r="B109" s="79"/>
      <c r="C109" s="82"/>
    </row>
    <row r="110" spans="1:3" x14ac:dyDescent="0.25">
      <c r="A110" s="75"/>
      <c r="B110" s="79"/>
      <c r="C110" s="82"/>
    </row>
    <row r="111" spans="1:3" x14ac:dyDescent="0.25">
      <c r="A111" s="75"/>
      <c r="B111" s="79"/>
      <c r="C111" s="82"/>
    </row>
    <row r="112" spans="1:3" x14ac:dyDescent="0.25">
      <c r="A112" s="75"/>
      <c r="B112" s="79"/>
      <c r="C112" s="82"/>
    </row>
    <row r="113" spans="1:3" x14ac:dyDescent="0.25">
      <c r="A113" s="75"/>
      <c r="B113" s="79"/>
      <c r="C113" s="82"/>
    </row>
    <row r="114" spans="1:3" x14ac:dyDescent="0.25">
      <c r="A114" s="75"/>
      <c r="B114" s="79"/>
      <c r="C114" s="82"/>
    </row>
    <row r="115" spans="1:3" x14ac:dyDescent="0.25">
      <c r="A115" s="75"/>
      <c r="B115" s="79"/>
      <c r="C115" s="82"/>
    </row>
    <row r="116" spans="1:3" x14ac:dyDescent="0.25">
      <c r="A116" s="75"/>
      <c r="B116" s="79"/>
      <c r="C116" s="82"/>
    </row>
    <row r="117" spans="1:3" x14ac:dyDescent="0.25">
      <c r="A117" s="75"/>
      <c r="B117" s="79"/>
      <c r="C117" s="82"/>
    </row>
    <row r="118" spans="1:3" x14ac:dyDescent="0.25">
      <c r="A118" s="75"/>
      <c r="B118" s="79"/>
      <c r="C118" s="82"/>
    </row>
    <row r="119" spans="1:3" x14ac:dyDescent="0.25">
      <c r="A119" s="75"/>
      <c r="B119" s="79"/>
      <c r="C119" s="82"/>
    </row>
    <row r="120" spans="1:3" x14ac:dyDescent="0.25">
      <c r="A120" s="75"/>
      <c r="B120" s="79"/>
      <c r="C120" s="82"/>
    </row>
    <row r="121" spans="1:3" x14ac:dyDescent="0.25">
      <c r="A121" s="75"/>
      <c r="B121" s="79"/>
      <c r="C121" s="82"/>
    </row>
    <row r="122" spans="1:3" x14ac:dyDescent="0.25">
      <c r="A122" s="75"/>
      <c r="B122" s="79"/>
      <c r="C122" s="82"/>
    </row>
    <row r="123" spans="1:3" x14ac:dyDescent="0.25">
      <c r="A123" s="75"/>
      <c r="B123" s="79"/>
      <c r="C123" s="82"/>
    </row>
    <row r="124" spans="1:3" x14ac:dyDescent="0.25">
      <c r="A124" s="75"/>
      <c r="B124" s="79"/>
      <c r="C124" s="82"/>
    </row>
    <row r="125" spans="1:3" x14ac:dyDescent="0.25">
      <c r="A125" s="75"/>
      <c r="B125" s="79"/>
      <c r="C125" s="82"/>
    </row>
    <row r="126" spans="1:3" x14ac:dyDescent="0.25">
      <c r="A126" s="75"/>
      <c r="B126" s="79"/>
      <c r="C126" s="82"/>
    </row>
    <row r="127" spans="1:3" x14ac:dyDescent="0.25">
      <c r="A127" s="75"/>
      <c r="B127" s="79"/>
      <c r="C127" s="82"/>
    </row>
    <row r="128" spans="1:3" x14ac:dyDescent="0.25">
      <c r="A128" s="75"/>
      <c r="B128" s="79"/>
      <c r="C128" s="82"/>
    </row>
    <row r="129" spans="1:3" x14ac:dyDescent="0.25">
      <c r="A129" s="75"/>
      <c r="B129" s="79"/>
      <c r="C129" s="82"/>
    </row>
    <row r="130" spans="1:3" x14ac:dyDescent="0.25">
      <c r="A130" s="75"/>
      <c r="B130" s="79"/>
      <c r="C130" s="82"/>
    </row>
    <row r="131" spans="1:3" x14ac:dyDescent="0.25">
      <c r="A131" s="75"/>
      <c r="B131" s="79"/>
      <c r="C131" s="82"/>
    </row>
    <row r="132" spans="1:3" x14ac:dyDescent="0.25">
      <c r="A132" s="75"/>
      <c r="B132" s="79"/>
      <c r="C132" s="82"/>
    </row>
  </sheetData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8" sqref="A8"/>
    </sheetView>
  </sheetViews>
  <sheetFormatPr defaultColWidth="9.140625" defaultRowHeight="12.75" x14ac:dyDescent="0.2"/>
  <cols>
    <col min="1" max="1" width="21" style="76" customWidth="1"/>
    <col min="2" max="2" width="22.85546875" style="76" customWidth="1"/>
    <col min="3" max="3" width="17.5703125" style="76" customWidth="1"/>
    <col min="4" max="16384" width="9.140625" style="76"/>
  </cols>
  <sheetData>
    <row r="1" spans="1:3" ht="16.5" x14ac:dyDescent="0.2">
      <c r="A1" s="80" t="s">
        <v>14</v>
      </c>
      <c r="B1" s="80" t="s">
        <v>59</v>
      </c>
      <c r="C1" s="80" t="s">
        <v>6</v>
      </c>
    </row>
    <row r="2" spans="1:3" ht="16.5" x14ac:dyDescent="0.2">
      <c r="A2" s="81">
        <v>43865</v>
      </c>
      <c r="B2" s="74" t="s">
        <v>60</v>
      </c>
      <c r="C2" s="74">
        <v>150000</v>
      </c>
    </row>
    <row r="3" spans="1:3" ht="16.5" x14ac:dyDescent="0.2">
      <c r="A3" s="81">
        <v>43892</v>
      </c>
      <c r="B3" s="74" t="s">
        <v>43</v>
      </c>
      <c r="C3" s="74">
        <v>800000</v>
      </c>
    </row>
    <row r="4" spans="1:3" ht="16.5" x14ac:dyDescent="0.2">
      <c r="A4" s="81">
        <v>43892</v>
      </c>
      <c r="B4" s="74" t="s">
        <v>47</v>
      </c>
      <c r="C4" s="74">
        <v>800000</v>
      </c>
    </row>
    <row r="5" spans="1:3" ht="16.5" x14ac:dyDescent="0.2">
      <c r="A5" s="81">
        <v>43985</v>
      </c>
      <c r="B5" s="74" t="s">
        <v>60</v>
      </c>
      <c r="C5" s="74">
        <v>315000</v>
      </c>
    </row>
    <row r="6" spans="1:3" ht="16.5" x14ac:dyDescent="0.2">
      <c r="A6" s="81">
        <v>44012</v>
      </c>
      <c r="B6" s="74" t="s">
        <v>60</v>
      </c>
      <c r="C6" s="74">
        <v>150000</v>
      </c>
    </row>
    <row r="7" spans="1:3" ht="16.5" x14ac:dyDescent="0.2">
      <c r="A7" s="81">
        <v>44086</v>
      </c>
      <c r="B7" s="74" t="s">
        <v>60</v>
      </c>
      <c r="C7" s="74">
        <v>100000</v>
      </c>
    </row>
    <row r="8" spans="1:3" ht="16.5" x14ac:dyDescent="0.2">
      <c r="A8" s="74" t="s">
        <v>317</v>
      </c>
      <c r="B8" s="74">
        <v>85000</v>
      </c>
      <c r="C8" s="74"/>
    </row>
  </sheetData>
  <sortState ref="A2:C5">
    <sortCondition ref="A2:A5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XCAL Clients Feeded</vt:lpstr>
      <vt:lpstr>XCAL Packages</vt:lpstr>
      <vt:lpstr>Misc Revenue</vt:lpstr>
      <vt:lpstr>Total Sales</vt:lpstr>
      <vt:lpstr>Expenses</vt:lpstr>
      <vt:lpstr>Expense Breakup</vt:lpstr>
      <vt:lpstr>Distribution</vt:lpstr>
      <vt:lpstr>Cash Flow</vt:lpstr>
      <vt:lpstr>XCAL Account</vt:lpstr>
      <vt:lpstr>Paid up Capital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LENOVO-PC2</dc:creator>
  <cp:lastModifiedBy>Usman Yunus Ghani</cp:lastModifiedBy>
  <cp:lastPrinted>2020-09-02T10:38:49Z</cp:lastPrinted>
  <dcterms:created xsi:type="dcterms:W3CDTF">2017-10-16T07:08:21Z</dcterms:created>
  <dcterms:modified xsi:type="dcterms:W3CDTF">2020-11-20T14:32:47Z</dcterms:modified>
</cp:coreProperties>
</file>